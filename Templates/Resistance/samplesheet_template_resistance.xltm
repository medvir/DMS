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infos'!$D$2:$D$3</definedName>
    <definedName name="Target">'Virus and Target infos'!$C$2:$C$10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<sst xmlns="http://schemas.openxmlformats.org/spreadsheetml/2006/main" count="143" uniqueCount="130">
  <si>
    <t>Index 2</t>
  </si>
  <si>
    <t>[Header]</t>
  </si>
  <si>
    <t>IEMFileVersion</t>
  </si>
  <si>
    <t>Investigator Name</t>
  </si>
  <si>
    <t>Experiment Name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</si>
  <si>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</si>
  <si>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</si>
  <si>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</si>
  <si>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</si>
  <si>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</si>
  <si>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</si>
  <si>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</si>
  <si>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</si>
  <si>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</si>
  <si>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</si>
  <si>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</si>
  <si>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</si>
  <si>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</si>
  <si>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</si>
  <si>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</si>
  <si>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</si>
  <si>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</si>
  <si>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</si>
  <si>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</si>
  <si>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</si>
  <si>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</si>
  <si>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</si>
  <si>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</si>
  <si>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</si>
  <si>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</si>
  <si>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</si>
  <si>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</si>
  <si>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</si>
  <si>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</si>
  <si>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</si>
  <si>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</si>
  <si>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</si>
  <si>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</si>
  <si>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</si>
  <si>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</si>
  <si>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</si>
  <si>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</si>
  <si>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</si>
  <si>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</si>
  <si>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</si>
  <si>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</si>
  <si>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</si>
  <si>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</si>
  <si>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</si>
  <si>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</si>
  <si>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</si>
  <si>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</si>
  <si>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</si>
  <si>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</si>
  <si>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</si>
  <si>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</si>
  <si>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</si>
  <si>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</si>
  <si>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</si>
  <si>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</si>
  <si>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</si>
  <si>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</si>
  <si>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</si>
  <si>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</si>
  <si>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</si>
  <si>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</si>
  <si>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</si>
  <si>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</si>
  <si>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</si>
  <si>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</si>
  <si>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</si>
  <si>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</si>
  <si>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</si>
  <si>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</si>
  <si>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</si>
  <si>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</si>
  <si>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</si>
  <si>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</si>
  <si>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</si>
  <si>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</si>
  <si>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</si>
  <si>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</si>
  <si>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</si>
  <si>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</si>
  <si>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</si>
  <si>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</si>
  <si>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</si>
  <si>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I7_Index_ID
(weisse Deckel)</t>
  </si>
  <si>
    <t>I5_Index_ID
(orange Deckel)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</si>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</sst>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104775</xdr:rowOff>
        </xdr:from>
        <xdr:to>
          <xdr:col>4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16.06.2017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defaultColWidth="10.875" defaultRowHeight="15.75" x14ac:dyDescent="0.25"/>
  <cols>
    <col min="1" max="1" width="3.5" style="12" bestFit="1" customWidth="1"/>
    <col min="2" max="2" width="28.625" style="12" customWidth="1"/>
    <col min="3" max="3" width="10.125" style="12" customWidth="1"/>
    <col min="4" max="4" width="11.625" style="12" customWidth="1"/>
    <col min="5" max="5" width="11.5" style="12" customWidth="1"/>
    <col min="6" max="6" width="26.5" style="12" customWidth="1"/>
    <col min="7" max="10" width="10.875" style="12" hidden="1" customWidth="1"/>
    <col min="11" max="11" width="3.125" style="13" bestFit="1" customWidth="1"/>
    <col min="12" max="12" width="17.875" style="12" customWidth="1"/>
    <col min="13" max="13" width="10.875" style="6" hidden="1" customWidth="1"/>
    <col min="14" max="14" width="3.125" style="13" bestFit="1" customWidth="1"/>
    <col min="15" max="15" width="17.875" style="12" customWidth="1"/>
    <col min="16" max="16" width="10.875" style="6" hidden="1" customWidth="1"/>
    <col min="17" max="16384" width="10.875" style="12"/>
  </cols>
  <sheetData>
    <row r="1" spans="1:16" x14ac:dyDescent="0.25">
      <c r="F1" s="13" t="s">
        <v>101</v>
      </c>
      <c r="G1" s="6"/>
      <c r="H1" s="6"/>
      <c r="I1" s="6"/>
      <c r="J1" s="6"/>
      <c r="L1" s="21"/>
    </row>
    <row r="2" spans="1:16" x14ac:dyDescent="0.25">
      <c r="F2" s="13" t="s">
        <v>71</v>
      </c>
      <c r="G2" s="6"/>
      <c r="H2" s="6"/>
      <c r="I2" s="6"/>
      <c r="J2" s="6"/>
      <c r="L2" s="21"/>
    </row>
    <row r="3" spans="1:16" x14ac:dyDescent="0.25">
      <c r="F3" s="13" t="s">
        <v>123</v>
      </c>
      <c r="G3" s="6"/>
      <c r="H3" s="6"/>
      <c r="I3" s="6"/>
      <c r="J3" s="6"/>
      <c r="L3" s="24"/>
    </row>
    <row r="4" spans="1:16" x14ac:dyDescent="0.25">
      <c r="F4" s="13" t="s">
        <v>124</v>
      </c>
      <c r="G4" s="6"/>
      <c r="H4" s="6"/>
      <c r="I4" s="6"/>
      <c r="J4" s="6"/>
      <c r="L4" s="21"/>
    </row>
    <row r="5" spans="1:16" x14ac:dyDescent="0.25">
      <c r="F5" s="13" t="s">
        <v>112</v>
      </c>
      <c r="G5" s="6"/>
      <c r="H5" s="6"/>
      <c r="I5" s="6"/>
      <c r="J5" s="6"/>
      <c r="L5" s="21"/>
    </row>
    <row r="6" spans="1:16" ht="31.5" x14ac:dyDescent="0.25">
      <c r="F6" s="14" t="s">
        <v>126</v>
      </c>
      <c r="G6" s="6"/>
      <c r="H6" s="6"/>
      <c r="I6" s="6"/>
      <c r="J6" s="6"/>
      <c r="L6" s="21"/>
    </row>
    <row r="7" spans="1:16" ht="31.5" x14ac:dyDescent="0.25">
      <c r="F7" s="14" t="s">
        <v>127</v>
      </c>
      <c r="G7" s="6"/>
      <c r="H7" s="6"/>
      <c r="I7" s="6"/>
      <c r="J7" s="6"/>
      <c r="L7" s="21"/>
    </row>
    <row r="8" spans="1:16" x14ac:dyDescent="0.25">
      <c r="F8" s="13" t="s">
        <v>125</v>
      </c>
      <c r="G8" s="6"/>
      <c r="H8" s="6"/>
      <c r="I8" s="6"/>
      <c r="J8" s="6"/>
      <c r="L8" s="23"/>
    </row>
    <row r="9" spans="1:16" x14ac:dyDescent="0.25">
      <c r="G9" s="6"/>
      <c r="H9" s="6"/>
      <c r="I9" s="6"/>
      <c r="J9" s="6"/>
    </row>
    <row r="10" spans="1:16" x14ac:dyDescent="0.25">
      <c r="G10" s="9" t="s">
        <v>98</v>
      </c>
      <c r="H10" s="10" t="s">
        <v>94</v>
      </c>
      <c r="I10" s="10" t="s">
        <v>95</v>
      </c>
      <c r="J10" s="10" t="s">
        <v>97</v>
      </c>
      <c r="L10" s="13" t="s">
        <v>25</v>
      </c>
      <c r="M10" s="25"/>
      <c r="O10" s="13" t="s">
        <v>27</v>
      </c>
    </row>
    <row r="11" spans="1:16" x14ac:dyDescent="0.25">
      <c r="E11" s="15"/>
      <c r="F11" s="15" t="s">
        <v>72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5">
      <c r="G12" s="10"/>
      <c r="H12" s="10"/>
      <c r="I12" s="10"/>
      <c r="J12" s="10"/>
    </row>
    <row r="13" spans="1:16" x14ac:dyDescent="0.25">
      <c r="G13" s="10"/>
      <c r="H13" s="10"/>
      <c r="I13" s="10"/>
      <c r="J13" s="10"/>
    </row>
    <row r="14" spans="1:16" ht="38.1" customHeight="1" thickBot="1" x14ac:dyDescent="0.3">
      <c r="A14" s="16" t="s">
        <v>86</v>
      </c>
      <c r="B14" s="17" t="s">
        <v>73</v>
      </c>
      <c r="C14" s="17" t="s">
        <v>77</v>
      </c>
      <c r="D14" s="18" t="s">
        <v>79</v>
      </c>
      <c r="E14" s="17" t="s">
        <v>78</v>
      </c>
      <c r="F14" s="18" t="s">
        <v>122</v>
      </c>
      <c r="G14" s="11"/>
      <c r="H14" s="11" t="s">
        <v>94</v>
      </c>
      <c r="I14" s="11" t="s">
        <v>95</v>
      </c>
      <c r="J14" s="11"/>
      <c r="K14" s="19"/>
      <c r="L14" s="18" t="s">
        <v>87</v>
      </c>
      <c r="M14" s="8" t="s">
        <v>99</v>
      </c>
      <c r="N14" s="19"/>
      <c r="O14" s="18" t="s">
        <v>88</v>
      </c>
      <c r="P14" s="8" t="s">
        <v>100</v>
      </c>
    </row>
    <row r="15" spans="1:16" x14ac:dyDescent="0.25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>IF(ISBLANK(B15),"",INDEX(I7_Index,MATCH(L15,I7_Index_ID,0)))</f>
        <v/>
      </c>
      <c r="N15" s="13">
        <v>1</v>
      </c>
      <c r="O15" s="26" t="str">
        <f t="shared" ref="O15:O46" si="1">IF(ISBLANK(B15),"",INDEX(I5_Index_ID,I15))</f>
        <v/>
      </c>
      <c r="P15" s="6" t="str">
        <f>IF(ISBLANK(B15),"",INDEX(I5_Index,MATCH(O15,I5_Index_ID,0)))</f>
        <v/>
      </c>
    </row>
    <row r="16" spans="1:16" x14ac:dyDescent="0.25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>IF(ISBLANK(B16),"",INDEX(I7_Index,MATCH(L16,I7_Index_ID,0)))</f>
        <v/>
      </c>
      <c r="N16" s="13">
        <v>2</v>
      </c>
      <c r="O16" s="26" t="str">
        <f t="shared" si="1"/>
        <v/>
      </c>
      <c r="P16" s="6" t="str">
        <f>IF(ISBLANK(B16),"",INDEX(I5_Index,MATCH(O16,I5_Index_ID,0)))</f>
        <v/>
      </c>
    </row>
    <row r="17" spans="1:16" x14ac:dyDescent="0.25">
      <c r="A17" s="6">
        <v>3</v>
      </c>
      <c r="B17" s="21"/>
      <c r="C17" s="21"/>
      <c r="D17" s="21"/>
      <c r="E17" s="21"/>
      <c r="F17" s="21"/>
      <c r="G17" s="6" t="str">
        <f t="shared" ref="G17:G80" si="2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3">H17-H16</f>
        <v>#VALUE!</v>
      </c>
      <c r="K17" s="13">
        <v>3</v>
      </c>
      <c r="L17" s="26" t="str">
        <f t="shared" si="0"/>
        <v/>
      </c>
      <c r="M17" s="6" t="str">
        <f>IF(ISBLANK(B17),"",INDEX(I7_Index,MATCH(L17,I7_Index_ID,0)))</f>
        <v/>
      </c>
      <c r="N17" s="13">
        <v>3</v>
      </c>
      <c r="O17" s="26" t="str">
        <f t="shared" si="1"/>
        <v/>
      </c>
      <c r="P17" s="6" t="str">
        <f>IF(ISBLANK(B17),"",INDEX(I5_Index,MATCH(O17,I5_Index_ID,0)))</f>
        <v/>
      </c>
    </row>
    <row r="18" spans="1:16" x14ac:dyDescent="0.25">
      <c r="A18" s="6">
        <v>4</v>
      </c>
      <c r="B18" s="21"/>
      <c r="C18" s="21"/>
      <c r="D18" s="21"/>
      <c r="E18" s="21"/>
      <c r="F18" s="21"/>
      <c r="G18" s="6" t="str">
        <f t="shared" si="2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3"/>
        <v>#VALUE!</v>
      </c>
      <c r="K18" s="13">
        <v>4</v>
      </c>
      <c r="L18" s="26" t="str">
        <f t="shared" si="0"/>
        <v/>
      </c>
      <c r="M18" s="6" t="str">
        <f>IF(ISBLANK(B18),"",INDEX(I7_Index,MATCH(L18,I7_Index_ID,0)))</f>
        <v/>
      </c>
      <c r="N18" s="13">
        <v>4</v>
      </c>
      <c r="O18" s="26" t="str">
        <f t="shared" si="1"/>
        <v/>
      </c>
      <c r="P18" s="6" t="str">
        <f>IF(ISBLANK(B18),"",INDEX(I5_Index,MATCH(O18,I5_Index_ID,0)))</f>
        <v/>
      </c>
    </row>
    <row r="19" spans="1:16" x14ac:dyDescent="0.25">
      <c r="A19" s="6">
        <v>5</v>
      </c>
      <c r="B19" s="21"/>
      <c r="C19" s="21"/>
      <c r="D19" s="21"/>
      <c r="E19" s="21"/>
      <c r="F19" s="21"/>
      <c r="G19" s="6" t="str">
        <f t="shared" si="2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3"/>
        <v>#VALUE!</v>
      </c>
      <c r="K19" s="13">
        <v>5</v>
      </c>
      <c r="L19" s="26" t="str">
        <f t="shared" si="0"/>
        <v/>
      </c>
      <c r="M19" s="6" t="str">
        <f>IF(ISBLANK(B19),"",INDEX(I7_Index,MATCH(L19,I7_Index_ID,0)))</f>
        <v/>
      </c>
      <c r="N19" s="13">
        <v>5</v>
      </c>
      <c r="O19" s="26" t="str">
        <f t="shared" si="1"/>
        <v/>
      </c>
      <c r="P19" s="6" t="str">
        <f>IF(ISBLANK(B19),"",INDEX(I5_Index,MATCH(O19,I5_Index_ID,0)))</f>
        <v/>
      </c>
    </row>
    <row r="20" spans="1:16" x14ac:dyDescent="0.25">
      <c r="A20" s="6">
        <v>6</v>
      </c>
      <c r="B20" s="21"/>
      <c r="C20" s="21"/>
      <c r="D20" s="21"/>
      <c r="E20" s="21"/>
      <c r="F20" s="21"/>
      <c r="G20" s="6" t="str">
        <f t="shared" si="2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3"/>
        <v>#VALUE!</v>
      </c>
      <c r="K20" s="13">
        <v>6</v>
      </c>
      <c r="L20" s="26" t="str">
        <f t="shared" si="0"/>
        <v/>
      </c>
      <c r="M20" s="6" t="str">
        <f>IF(ISBLANK(B20),"",INDEX(I7_Index,MATCH(L20,I7_Index_ID,0)))</f>
        <v/>
      </c>
      <c r="N20" s="13">
        <v>6</v>
      </c>
      <c r="O20" s="26" t="str">
        <f t="shared" si="1"/>
        <v/>
      </c>
      <c r="P20" s="6" t="str">
        <f>IF(ISBLANK(B20),"",INDEX(I5_Index,MATCH(O20,I5_Index_ID,0)))</f>
        <v/>
      </c>
    </row>
    <row r="21" spans="1:16" x14ac:dyDescent="0.25">
      <c r="A21" s="6">
        <v>7</v>
      </c>
      <c r="B21" s="21"/>
      <c r="C21" s="21"/>
      <c r="D21" s="21"/>
      <c r="E21" s="21"/>
      <c r="F21" s="21"/>
      <c r="G21" s="6" t="str">
        <f t="shared" si="2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3"/>
        <v>#VALUE!</v>
      </c>
      <c r="K21" s="13">
        <v>7</v>
      </c>
      <c r="L21" s="26" t="str">
        <f t="shared" si="0"/>
        <v/>
      </c>
      <c r="M21" s="6" t="str">
        <f>IF(ISBLANK(B21),"",INDEX(I7_Index,MATCH(L21,I7_Index_ID,0)))</f>
        <v/>
      </c>
      <c r="N21" s="13">
        <v>7</v>
      </c>
      <c r="O21" s="26" t="str">
        <f t="shared" si="1"/>
        <v/>
      </c>
      <c r="P21" s="6" t="str">
        <f>IF(ISBLANK(B21),"",INDEX(I5_Index,MATCH(O21,I5_Index_ID,0)))</f>
        <v/>
      </c>
    </row>
    <row r="22" spans="1:16" ht="16.5" thickBot="1" x14ac:dyDescent="0.3">
      <c r="A22" s="8">
        <v>8</v>
      </c>
      <c r="B22" s="22"/>
      <c r="C22" s="22"/>
      <c r="D22" s="22"/>
      <c r="E22" s="22"/>
      <c r="F22" s="22"/>
      <c r="G22" s="8" t="str">
        <f t="shared" si="2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3"/>
        <v>#VALUE!</v>
      </c>
      <c r="K22" s="19">
        <v>8</v>
      </c>
      <c r="L22" s="27" t="str">
        <f t="shared" si="0"/>
        <v/>
      </c>
      <c r="M22" s="8" t="str">
        <f>IF(ISBLANK(B22),"",INDEX(I7_Index,MATCH(L22,I7_Index_ID,0)))</f>
        <v/>
      </c>
      <c r="N22" s="19">
        <v>8</v>
      </c>
      <c r="O22" s="27" t="str">
        <f t="shared" si="1"/>
        <v/>
      </c>
      <c r="P22" s="8" t="str">
        <f>IF(ISBLANK(B22),"",INDEX(I5_Index,MATCH(O22,I5_Index_ID,0)))</f>
        <v/>
      </c>
    </row>
    <row r="23" spans="1:16" x14ac:dyDescent="0.25">
      <c r="A23" s="6">
        <v>9</v>
      </c>
      <c r="B23" s="21"/>
      <c r="C23" s="21"/>
      <c r="D23" s="21"/>
      <c r="E23" s="21"/>
      <c r="F23" s="21"/>
      <c r="G23" s="6" t="str">
        <f t="shared" si="2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3"/>
        <v>#VALUE!</v>
      </c>
      <c r="K23" s="13">
        <v>1</v>
      </c>
      <c r="L23" s="26" t="str">
        <f t="shared" si="0"/>
        <v/>
      </c>
      <c r="M23" s="6" t="str">
        <f>IF(ISBLANK(B23),"",INDEX(I7_Index,MATCH(L23,I7_Index_ID,0)))</f>
        <v/>
      </c>
      <c r="N23" s="13">
        <v>1</v>
      </c>
      <c r="O23" s="26" t="str">
        <f t="shared" si="1"/>
        <v/>
      </c>
      <c r="P23" s="6" t="str">
        <f>IF(ISBLANK(B23),"",INDEX(I5_Index,MATCH(O23,I5_Index_ID,0)))</f>
        <v/>
      </c>
    </row>
    <row r="24" spans="1:16" x14ac:dyDescent="0.25">
      <c r="A24" s="6">
        <v>10</v>
      </c>
      <c r="B24" s="21"/>
      <c r="C24" s="21"/>
      <c r="D24" s="21"/>
      <c r="E24" s="21"/>
      <c r="F24" s="21"/>
      <c r="G24" s="6" t="str">
        <f t="shared" si="2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3"/>
        <v>#VALUE!</v>
      </c>
      <c r="K24" s="13">
        <v>2</v>
      </c>
      <c r="L24" s="26" t="str">
        <f t="shared" si="0"/>
        <v/>
      </c>
      <c r="M24" s="6" t="str">
        <f>IF(ISBLANK(B24),"",INDEX(I7_Index,MATCH(L24,I7_Index_ID,0)))</f>
        <v/>
      </c>
      <c r="N24" s="13">
        <v>2</v>
      </c>
      <c r="O24" s="26" t="str">
        <f t="shared" si="1"/>
        <v/>
      </c>
      <c r="P24" s="6" t="str">
        <f>IF(ISBLANK(B24),"",INDEX(I5_Index,MATCH(O24,I5_Index_ID,0)))</f>
        <v/>
      </c>
    </row>
    <row r="25" spans="1:16" x14ac:dyDescent="0.25">
      <c r="A25" s="6">
        <v>11</v>
      </c>
      <c r="B25" s="21"/>
      <c r="C25" s="21"/>
      <c r="D25" s="21"/>
      <c r="E25" s="21"/>
      <c r="F25" s="21"/>
      <c r="G25" s="6" t="str">
        <f t="shared" si="2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3"/>
        <v>#VALUE!</v>
      </c>
      <c r="K25" s="13">
        <v>3</v>
      </c>
      <c r="L25" s="26" t="str">
        <f t="shared" si="0"/>
        <v/>
      </c>
      <c r="M25" s="6" t="str">
        <f>IF(ISBLANK(B25),"",INDEX(I7_Index,MATCH(L25,I7_Index_ID,0)))</f>
        <v/>
      </c>
      <c r="N25" s="13">
        <v>3</v>
      </c>
      <c r="O25" s="26" t="str">
        <f t="shared" si="1"/>
        <v/>
      </c>
      <c r="P25" s="6" t="str">
        <f>IF(ISBLANK(B25),"",INDEX(I5_Index,MATCH(O25,I5_Index_ID,0)))</f>
        <v/>
      </c>
    </row>
    <row r="26" spans="1:16" x14ac:dyDescent="0.25">
      <c r="A26" s="6">
        <v>12</v>
      </c>
      <c r="B26" s="21"/>
      <c r="C26" s="21"/>
      <c r="D26" s="21"/>
      <c r="E26" s="21"/>
      <c r="F26" s="21"/>
      <c r="G26" s="6" t="str">
        <f t="shared" si="2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3"/>
        <v>#VALUE!</v>
      </c>
      <c r="K26" s="13">
        <v>4</v>
      </c>
      <c r="L26" s="26" t="str">
        <f t="shared" si="0"/>
        <v/>
      </c>
      <c r="M26" s="6" t="str">
        <f>IF(ISBLANK(B26),"",INDEX(I7_Index,MATCH(L26,I7_Index_ID,0)))</f>
        <v/>
      </c>
      <c r="N26" s="13">
        <v>4</v>
      </c>
      <c r="O26" s="26" t="str">
        <f t="shared" si="1"/>
        <v/>
      </c>
      <c r="P26" s="6" t="str">
        <f>IF(ISBLANK(B26),"",INDEX(I5_Index,MATCH(O26,I5_Index_ID,0)))</f>
        <v/>
      </c>
    </row>
    <row r="27" spans="1:16" x14ac:dyDescent="0.25">
      <c r="A27" s="6">
        <v>13</v>
      </c>
      <c r="B27" s="21"/>
      <c r="C27" s="21"/>
      <c r="D27" s="21"/>
      <c r="E27" s="21"/>
      <c r="F27" s="21"/>
      <c r="G27" s="6" t="str">
        <f t="shared" si="2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3"/>
        <v>#VALUE!</v>
      </c>
      <c r="K27" s="13">
        <v>5</v>
      </c>
      <c r="L27" s="26" t="str">
        <f t="shared" si="0"/>
        <v/>
      </c>
      <c r="M27" s="6" t="str">
        <f>IF(ISBLANK(B27),"",INDEX(I7_Index,MATCH(L27,I7_Index_ID,0)))</f>
        <v/>
      </c>
      <c r="N27" s="13">
        <v>5</v>
      </c>
      <c r="O27" s="26" t="str">
        <f t="shared" si="1"/>
        <v/>
      </c>
      <c r="P27" s="6" t="str">
        <f>IF(ISBLANK(B27),"",INDEX(I5_Index,MATCH(O27,I5_Index_ID,0)))</f>
        <v/>
      </c>
    </row>
    <row r="28" spans="1:16" x14ac:dyDescent="0.25">
      <c r="A28" s="6">
        <v>14</v>
      </c>
      <c r="B28" s="21"/>
      <c r="C28" s="21"/>
      <c r="D28" s="21"/>
      <c r="E28" s="21"/>
      <c r="F28" s="21"/>
      <c r="G28" s="6" t="str">
        <f t="shared" si="2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3"/>
        <v>#VALUE!</v>
      </c>
      <c r="K28" s="13">
        <v>6</v>
      </c>
      <c r="L28" s="26" t="str">
        <f t="shared" si="0"/>
        <v/>
      </c>
      <c r="M28" s="6" t="str">
        <f>IF(ISBLANK(B28),"",INDEX(I7_Index,MATCH(L28,I7_Index_ID,0)))</f>
        <v/>
      </c>
      <c r="N28" s="13">
        <v>6</v>
      </c>
      <c r="O28" s="26" t="str">
        <f t="shared" si="1"/>
        <v/>
      </c>
      <c r="P28" s="6" t="str">
        <f>IF(ISBLANK(B28),"",INDEX(I5_Index,MATCH(O28,I5_Index_ID,0)))</f>
        <v/>
      </c>
    </row>
    <row r="29" spans="1:16" x14ac:dyDescent="0.25">
      <c r="A29" s="6">
        <v>15</v>
      </c>
      <c r="B29" s="21"/>
      <c r="C29" s="21"/>
      <c r="D29" s="21"/>
      <c r="E29" s="21"/>
      <c r="F29" s="21"/>
      <c r="G29" s="6" t="str">
        <f t="shared" si="2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3"/>
        <v>#VALUE!</v>
      </c>
      <c r="K29" s="13">
        <v>7</v>
      </c>
      <c r="L29" s="26" t="str">
        <f t="shared" si="0"/>
        <v/>
      </c>
      <c r="M29" s="6" t="str">
        <f>IF(ISBLANK(B29),"",INDEX(I7_Index,MATCH(L29,I7_Index_ID,0)))</f>
        <v/>
      </c>
      <c r="N29" s="13">
        <v>7</v>
      </c>
      <c r="O29" s="26" t="str">
        <f t="shared" si="1"/>
        <v/>
      </c>
      <c r="P29" s="6" t="str">
        <f>IF(ISBLANK(B29),"",INDEX(I5_Index,MATCH(O29,I5_Index_ID,0)))</f>
        <v/>
      </c>
    </row>
    <row r="30" spans="1:16" ht="16.5" thickBot="1" x14ac:dyDescent="0.3">
      <c r="A30" s="8">
        <v>16</v>
      </c>
      <c r="B30" s="22"/>
      <c r="C30" s="22"/>
      <c r="D30" s="22"/>
      <c r="E30" s="22"/>
      <c r="F30" s="22"/>
      <c r="G30" s="8" t="str">
        <f t="shared" si="2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3"/>
        <v>#VALUE!</v>
      </c>
      <c r="K30" s="19">
        <v>8</v>
      </c>
      <c r="L30" s="27" t="str">
        <f t="shared" si="0"/>
        <v/>
      </c>
      <c r="M30" s="8" t="str">
        <f>IF(ISBLANK(B30),"",INDEX(I7_Index,MATCH(L30,I7_Index_ID,0)))</f>
        <v/>
      </c>
      <c r="N30" s="19">
        <v>8</v>
      </c>
      <c r="O30" s="27" t="str">
        <f t="shared" si="1"/>
        <v/>
      </c>
      <c r="P30" s="8" t="str">
        <f>IF(ISBLANK(B30),"",INDEX(I5_Index,MATCH(O30,I5_Index_ID,0)))</f>
        <v/>
      </c>
    </row>
    <row r="31" spans="1:16" x14ac:dyDescent="0.25">
      <c r="A31" s="6">
        <v>17</v>
      </c>
      <c r="B31" s="21"/>
      <c r="C31" s="21"/>
      <c r="D31" s="21"/>
      <c r="E31" s="21"/>
      <c r="F31" s="21"/>
      <c r="G31" s="6" t="str">
        <f t="shared" si="2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3"/>
        <v>#VALUE!</v>
      </c>
      <c r="K31" s="13">
        <v>1</v>
      </c>
      <c r="L31" s="26" t="str">
        <f t="shared" si="0"/>
        <v/>
      </c>
      <c r="M31" s="6" t="str">
        <f>IF(ISBLANK(B31),"",INDEX(I7_Index,MATCH(L31,I7_Index_ID,0)))</f>
        <v/>
      </c>
      <c r="N31" s="13">
        <v>1</v>
      </c>
      <c r="O31" s="26" t="str">
        <f t="shared" si="1"/>
        <v/>
      </c>
      <c r="P31" s="6" t="str">
        <f>IF(ISBLANK(B31),"",INDEX(I5_Index,MATCH(O31,I5_Index_ID,0)))</f>
        <v/>
      </c>
    </row>
    <row r="32" spans="1:16" x14ac:dyDescent="0.25">
      <c r="A32" s="6">
        <v>18</v>
      </c>
      <c r="B32" s="21"/>
      <c r="C32" s="21"/>
      <c r="D32" s="21"/>
      <c r="E32" s="21"/>
      <c r="F32" s="21"/>
      <c r="G32" s="6" t="str">
        <f t="shared" si="2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3"/>
        <v>#VALUE!</v>
      </c>
      <c r="K32" s="13">
        <v>2</v>
      </c>
      <c r="L32" s="26" t="str">
        <f t="shared" si="0"/>
        <v/>
      </c>
      <c r="M32" s="6" t="str">
        <f>IF(ISBLANK(B32),"",INDEX(I7_Index,MATCH(L32,I7_Index_ID,0)))</f>
        <v/>
      </c>
      <c r="N32" s="13">
        <v>2</v>
      </c>
      <c r="O32" s="26" t="str">
        <f t="shared" si="1"/>
        <v/>
      </c>
      <c r="P32" s="6" t="str">
        <f>IF(ISBLANK(B32),"",INDEX(I5_Index,MATCH(O32,I5_Index_ID,0)))</f>
        <v/>
      </c>
    </row>
    <row r="33" spans="1:16" x14ac:dyDescent="0.25">
      <c r="A33" s="6">
        <v>19</v>
      </c>
      <c r="B33" s="21"/>
      <c r="C33" s="21"/>
      <c r="D33" s="21"/>
      <c r="E33" s="21"/>
      <c r="F33" s="21"/>
      <c r="G33" s="6" t="str">
        <f t="shared" si="2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3"/>
        <v>#VALUE!</v>
      </c>
      <c r="K33" s="13">
        <v>3</v>
      </c>
      <c r="L33" s="26" t="str">
        <f t="shared" si="0"/>
        <v/>
      </c>
      <c r="M33" s="6" t="str">
        <f>IF(ISBLANK(B33),"",INDEX(I7_Index,MATCH(L33,I7_Index_ID,0)))</f>
        <v/>
      </c>
      <c r="N33" s="13">
        <v>3</v>
      </c>
      <c r="O33" s="26" t="str">
        <f t="shared" si="1"/>
        <v/>
      </c>
      <c r="P33" s="6" t="str">
        <f>IF(ISBLANK(B33),"",INDEX(I5_Index,MATCH(O33,I5_Index_ID,0)))</f>
        <v/>
      </c>
    </row>
    <row r="34" spans="1:16" x14ac:dyDescent="0.25">
      <c r="A34" s="6">
        <v>20</v>
      </c>
      <c r="B34" s="21"/>
      <c r="C34" s="21"/>
      <c r="D34" s="21"/>
      <c r="E34" s="21"/>
      <c r="F34" s="21"/>
      <c r="G34" s="6" t="str">
        <f t="shared" si="2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3"/>
        <v>#VALUE!</v>
      </c>
      <c r="K34" s="13">
        <v>4</v>
      </c>
      <c r="L34" s="26" t="str">
        <f t="shared" si="0"/>
        <v/>
      </c>
      <c r="M34" s="6" t="str">
        <f>IF(ISBLANK(B34),"",INDEX(I7_Index,MATCH(L34,I7_Index_ID,0)))</f>
        <v/>
      </c>
      <c r="N34" s="13">
        <v>4</v>
      </c>
      <c r="O34" s="26" t="str">
        <f t="shared" si="1"/>
        <v/>
      </c>
      <c r="P34" s="6" t="str">
        <f>IF(ISBLANK(B34),"",INDEX(I5_Index,MATCH(O34,I5_Index_ID,0)))</f>
        <v/>
      </c>
    </row>
    <row r="35" spans="1:16" x14ac:dyDescent="0.25">
      <c r="A35" s="6">
        <v>21</v>
      </c>
      <c r="B35" s="21"/>
      <c r="C35" s="21"/>
      <c r="D35" s="21"/>
      <c r="E35" s="21"/>
      <c r="F35" s="21"/>
      <c r="G35" s="6" t="str">
        <f t="shared" si="2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3"/>
        <v>#VALUE!</v>
      </c>
      <c r="K35" s="13">
        <v>5</v>
      </c>
      <c r="L35" s="26" t="str">
        <f t="shared" si="0"/>
        <v/>
      </c>
      <c r="M35" s="6" t="str">
        <f>IF(ISBLANK(B35),"",INDEX(I7_Index,MATCH(L35,I7_Index_ID,0)))</f>
        <v/>
      </c>
      <c r="N35" s="13">
        <v>5</v>
      </c>
      <c r="O35" s="26" t="str">
        <f t="shared" si="1"/>
        <v/>
      </c>
      <c r="P35" s="6" t="str">
        <f>IF(ISBLANK(B35),"",INDEX(I5_Index,MATCH(O35,I5_Index_ID,0)))</f>
        <v/>
      </c>
    </row>
    <row r="36" spans="1:16" x14ac:dyDescent="0.25">
      <c r="A36" s="6">
        <v>22</v>
      </c>
      <c r="B36" s="21"/>
      <c r="C36" s="21"/>
      <c r="D36" s="21"/>
      <c r="E36" s="21"/>
      <c r="F36" s="21"/>
      <c r="G36" s="6" t="str">
        <f t="shared" si="2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3"/>
        <v>#VALUE!</v>
      </c>
      <c r="K36" s="13">
        <v>6</v>
      </c>
      <c r="L36" s="26" t="str">
        <f t="shared" si="0"/>
        <v/>
      </c>
      <c r="M36" s="6" t="str">
        <f>IF(ISBLANK(B36),"",INDEX(I7_Index,MATCH(L36,I7_Index_ID,0)))</f>
        <v/>
      </c>
      <c r="N36" s="13">
        <v>6</v>
      </c>
      <c r="O36" s="26" t="str">
        <f t="shared" si="1"/>
        <v/>
      </c>
      <c r="P36" s="6" t="str">
        <f>IF(ISBLANK(B36),"",INDEX(I5_Index,MATCH(O36,I5_Index_ID,0)))</f>
        <v/>
      </c>
    </row>
    <row r="37" spans="1:16" x14ac:dyDescent="0.25">
      <c r="A37" s="6">
        <v>23</v>
      </c>
      <c r="B37" s="21"/>
      <c r="C37" s="21"/>
      <c r="D37" s="21"/>
      <c r="E37" s="21"/>
      <c r="F37" s="21"/>
      <c r="G37" s="6" t="str">
        <f t="shared" si="2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3"/>
        <v>#VALUE!</v>
      </c>
      <c r="K37" s="13">
        <v>7</v>
      </c>
      <c r="L37" s="26" t="str">
        <f t="shared" si="0"/>
        <v/>
      </c>
      <c r="M37" s="6" t="str">
        <f>IF(ISBLANK(B37),"",INDEX(I7_Index,MATCH(L37,I7_Index_ID,0)))</f>
        <v/>
      </c>
      <c r="N37" s="13">
        <v>7</v>
      </c>
      <c r="O37" s="26" t="str">
        <f t="shared" si="1"/>
        <v/>
      </c>
      <c r="P37" s="6" t="str">
        <f>IF(ISBLANK(B37),"",INDEX(I5_Index,MATCH(O37,I5_Index_ID,0)))</f>
        <v/>
      </c>
    </row>
    <row r="38" spans="1:16" ht="16.5" thickBot="1" x14ac:dyDescent="0.3">
      <c r="A38" s="8">
        <v>24</v>
      </c>
      <c r="B38" s="22"/>
      <c r="C38" s="22"/>
      <c r="D38" s="22"/>
      <c r="E38" s="22"/>
      <c r="F38" s="22"/>
      <c r="G38" s="8" t="str">
        <f t="shared" si="2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3"/>
        <v>#VALUE!</v>
      </c>
      <c r="K38" s="19">
        <v>8</v>
      </c>
      <c r="L38" s="27" t="str">
        <f t="shared" si="0"/>
        <v/>
      </c>
      <c r="M38" s="8" t="str">
        <f>IF(ISBLANK(B38),"",INDEX(I7_Index,MATCH(L38,I7_Index_ID,0)))</f>
        <v/>
      </c>
      <c r="N38" s="19">
        <v>8</v>
      </c>
      <c r="O38" s="27" t="str">
        <f t="shared" si="1"/>
        <v/>
      </c>
      <c r="P38" s="8" t="str">
        <f>IF(ISBLANK(B38),"",INDEX(I5_Index,MATCH(O38,I5_Index_ID,0)))</f>
        <v/>
      </c>
    </row>
    <row r="39" spans="1:16" x14ac:dyDescent="0.25">
      <c r="A39" s="6">
        <v>25</v>
      </c>
      <c r="B39" s="21"/>
      <c r="C39" s="21"/>
      <c r="D39" s="21"/>
      <c r="E39" s="21"/>
      <c r="F39" s="21"/>
      <c r="G39" s="6" t="str">
        <f t="shared" si="2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3"/>
        <v>#VALUE!</v>
      </c>
      <c r="K39" s="13">
        <v>1</v>
      </c>
      <c r="L39" s="26" t="str">
        <f t="shared" si="0"/>
        <v/>
      </c>
      <c r="M39" s="6" t="str">
        <f>IF(ISBLANK(B39),"",INDEX(I7_Index,MATCH(L39,I7_Index_ID,0)))</f>
        <v/>
      </c>
      <c r="N39" s="13">
        <v>1</v>
      </c>
      <c r="O39" s="26" t="str">
        <f t="shared" si="1"/>
        <v/>
      </c>
      <c r="P39" s="6" t="str">
        <f>IF(ISBLANK(B39),"",INDEX(I5_Index,MATCH(O39,I5_Index_ID,0)))</f>
        <v/>
      </c>
    </row>
    <row r="40" spans="1:16" x14ac:dyDescent="0.25">
      <c r="A40" s="6">
        <v>26</v>
      </c>
      <c r="B40" s="21"/>
      <c r="C40" s="21"/>
      <c r="D40" s="21"/>
      <c r="E40" s="21"/>
      <c r="F40" s="21"/>
      <c r="G40" s="6" t="str">
        <f t="shared" si="2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3"/>
        <v>#VALUE!</v>
      </c>
      <c r="K40" s="13">
        <v>2</v>
      </c>
      <c r="L40" s="26" t="str">
        <f t="shared" si="0"/>
        <v/>
      </c>
      <c r="M40" s="6" t="str">
        <f>IF(ISBLANK(B40),"",INDEX(I7_Index,MATCH(L40,I7_Index_ID,0)))</f>
        <v/>
      </c>
      <c r="N40" s="13">
        <v>2</v>
      </c>
      <c r="O40" s="26" t="str">
        <f t="shared" si="1"/>
        <v/>
      </c>
      <c r="P40" s="6" t="str">
        <f>IF(ISBLANK(B40),"",INDEX(I5_Index,MATCH(O40,I5_Index_ID,0)))</f>
        <v/>
      </c>
    </row>
    <row r="41" spans="1:16" x14ac:dyDescent="0.25">
      <c r="A41" s="6">
        <v>27</v>
      </c>
      <c r="B41" s="21"/>
      <c r="C41" s="21"/>
      <c r="D41" s="21"/>
      <c r="E41" s="21"/>
      <c r="F41" s="21"/>
      <c r="G41" s="6" t="str">
        <f t="shared" si="2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3"/>
        <v>#VALUE!</v>
      </c>
      <c r="K41" s="13">
        <v>3</v>
      </c>
      <c r="L41" s="26" t="str">
        <f t="shared" si="0"/>
        <v/>
      </c>
      <c r="M41" s="6" t="str">
        <f>IF(ISBLANK(B41),"",INDEX(I7_Index,MATCH(L41,I7_Index_ID,0)))</f>
        <v/>
      </c>
      <c r="N41" s="13">
        <v>3</v>
      </c>
      <c r="O41" s="26" t="str">
        <f t="shared" si="1"/>
        <v/>
      </c>
      <c r="P41" s="6" t="str">
        <f>IF(ISBLANK(B41),"",INDEX(I5_Index,MATCH(O41,I5_Index_ID,0)))</f>
        <v/>
      </c>
    </row>
    <row r="42" spans="1:16" x14ac:dyDescent="0.25">
      <c r="A42" s="6">
        <v>28</v>
      </c>
      <c r="B42" s="21"/>
      <c r="C42" s="21"/>
      <c r="D42" s="21"/>
      <c r="E42" s="21"/>
      <c r="F42" s="21"/>
      <c r="G42" s="6" t="str">
        <f t="shared" si="2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3"/>
        <v>#VALUE!</v>
      </c>
      <c r="K42" s="13">
        <v>4</v>
      </c>
      <c r="L42" s="26" t="str">
        <f t="shared" si="0"/>
        <v/>
      </c>
      <c r="M42" s="6" t="str">
        <f>IF(ISBLANK(B42),"",INDEX(I7_Index,MATCH(L42,I7_Index_ID,0)))</f>
        <v/>
      </c>
      <c r="N42" s="13">
        <v>4</v>
      </c>
      <c r="O42" s="26" t="str">
        <f t="shared" si="1"/>
        <v/>
      </c>
      <c r="P42" s="6" t="str">
        <f>IF(ISBLANK(B42),"",INDEX(I5_Index,MATCH(O42,I5_Index_ID,0)))</f>
        <v/>
      </c>
    </row>
    <row r="43" spans="1:16" x14ac:dyDescent="0.25">
      <c r="A43" s="6">
        <v>29</v>
      </c>
      <c r="B43" s="21"/>
      <c r="C43" s="21"/>
      <c r="D43" s="21"/>
      <c r="E43" s="21"/>
      <c r="F43" s="21"/>
      <c r="G43" s="6" t="str">
        <f t="shared" si="2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3"/>
        <v>#VALUE!</v>
      </c>
      <c r="K43" s="13">
        <v>5</v>
      </c>
      <c r="L43" s="26" t="str">
        <f t="shared" si="0"/>
        <v/>
      </c>
      <c r="M43" s="6" t="str">
        <f>IF(ISBLANK(B43),"",INDEX(I7_Index,MATCH(L43,I7_Index_ID,0)))</f>
        <v/>
      </c>
      <c r="N43" s="13">
        <v>5</v>
      </c>
      <c r="O43" s="26" t="str">
        <f t="shared" si="1"/>
        <v/>
      </c>
      <c r="P43" s="6" t="str">
        <f>IF(ISBLANK(B43),"",INDEX(I5_Index,MATCH(O43,I5_Index_ID,0)))</f>
        <v/>
      </c>
    </row>
    <row r="44" spans="1:16" x14ac:dyDescent="0.25">
      <c r="A44" s="6">
        <v>30</v>
      </c>
      <c r="B44" s="21"/>
      <c r="C44" s="21"/>
      <c r="D44" s="21"/>
      <c r="E44" s="21"/>
      <c r="F44" s="21"/>
      <c r="G44" s="6" t="str">
        <f t="shared" si="2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3"/>
        <v>#VALUE!</v>
      </c>
      <c r="K44" s="13">
        <v>6</v>
      </c>
      <c r="L44" s="26" t="str">
        <f t="shared" si="0"/>
        <v/>
      </c>
      <c r="M44" s="6" t="str">
        <f>IF(ISBLANK(B44),"",INDEX(I7_Index,MATCH(L44,I7_Index_ID,0)))</f>
        <v/>
      </c>
      <c r="N44" s="13">
        <v>6</v>
      </c>
      <c r="O44" s="26" t="str">
        <f t="shared" si="1"/>
        <v/>
      </c>
      <c r="P44" s="6" t="str">
        <f>IF(ISBLANK(B44),"",INDEX(I5_Index,MATCH(O44,I5_Index_ID,0)))</f>
        <v/>
      </c>
    </row>
    <row r="45" spans="1:16" x14ac:dyDescent="0.25">
      <c r="A45" s="6">
        <v>31</v>
      </c>
      <c r="B45" s="21"/>
      <c r="C45" s="21"/>
      <c r="D45" s="21"/>
      <c r="E45" s="21"/>
      <c r="F45" s="21"/>
      <c r="G45" s="6" t="str">
        <f t="shared" si="2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3"/>
        <v>#VALUE!</v>
      </c>
      <c r="K45" s="13">
        <v>7</v>
      </c>
      <c r="L45" s="26" t="str">
        <f t="shared" si="0"/>
        <v/>
      </c>
      <c r="M45" s="6" t="str">
        <f>IF(ISBLANK(B45),"",INDEX(I7_Index,MATCH(L45,I7_Index_ID,0)))</f>
        <v/>
      </c>
      <c r="N45" s="13">
        <v>7</v>
      </c>
      <c r="O45" s="26" t="str">
        <f t="shared" si="1"/>
        <v/>
      </c>
      <c r="P45" s="6" t="str">
        <f>IF(ISBLANK(B45),"",INDEX(I5_Index,MATCH(O45,I5_Index_ID,0)))</f>
        <v/>
      </c>
    </row>
    <row r="46" spans="1:16" ht="16.5" thickBot="1" x14ac:dyDescent="0.3">
      <c r="A46" s="8">
        <v>32</v>
      </c>
      <c r="B46" s="22"/>
      <c r="C46" s="22"/>
      <c r="D46" s="22"/>
      <c r="E46" s="22"/>
      <c r="F46" s="22"/>
      <c r="G46" s="8" t="str">
        <f t="shared" si="2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3"/>
        <v>#VALUE!</v>
      </c>
      <c r="K46" s="19">
        <v>8</v>
      </c>
      <c r="L46" s="27" t="str">
        <f t="shared" si="0"/>
        <v/>
      </c>
      <c r="M46" s="8" t="str">
        <f>IF(ISBLANK(B46),"",INDEX(I7_Index,MATCH(L46,I7_Index_ID,0)))</f>
        <v/>
      </c>
      <c r="N46" s="19">
        <v>8</v>
      </c>
      <c r="O46" s="27" t="str">
        <f t="shared" si="1"/>
        <v/>
      </c>
      <c r="P46" s="8" t="str">
        <f>IF(ISBLANK(B46),"",INDEX(I5_Index,MATCH(O46,I5_Index_ID,0)))</f>
        <v/>
      </c>
    </row>
    <row r="47" spans="1:16" x14ac:dyDescent="0.25">
      <c r="A47" s="6">
        <v>33</v>
      </c>
      <c r="B47" s="21"/>
      <c r="C47" s="21"/>
      <c r="D47" s="21"/>
      <c r="E47" s="21"/>
      <c r="F47" s="21"/>
      <c r="G47" s="6" t="str">
        <f t="shared" si="2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3"/>
        <v>#VALUE!</v>
      </c>
      <c r="K47" s="13">
        <v>1</v>
      </c>
      <c r="L47" s="26" t="str">
        <f t="shared" ref="L47:L78" si="4">IF(ISBLANK(B47),"",INDEX(I7_Index_ID,H47))</f>
        <v/>
      </c>
      <c r="M47" s="6" t="str">
        <f>IF(ISBLANK(B47),"",INDEX(I7_Index,MATCH(L47,I7_Index_ID,0)))</f>
        <v/>
      </c>
      <c r="N47" s="13">
        <v>1</v>
      </c>
      <c r="O47" s="26" t="str">
        <f t="shared" ref="O47:O78" si="5">IF(ISBLANK(B47),"",INDEX(I5_Index_ID,I47))</f>
        <v/>
      </c>
      <c r="P47" s="6" t="str">
        <f>IF(ISBLANK(B47),"",INDEX(I5_Index,MATCH(O47,I5_Index_ID,0)))</f>
        <v/>
      </c>
    </row>
    <row r="48" spans="1:16" x14ac:dyDescent="0.25">
      <c r="A48" s="6">
        <v>34</v>
      </c>
      <c r="B48" s="21"/>
      <c r="C48" s="21"/>
      <c r="D48" s="21"/>
      <c r="E48" s="21"/>
      <c r="F48" s="21"/>
      <c r="G48" s="6" t="str">
        <f t="shared" si="2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3"/>
        <v>#VALUE!</v>
      </c>
      <c r="K48" s="13">
        <v>2</v>
      </c>
      <c r="L48" s="26" t="str">
        <f t="shared" si="4"/>
        <v/>
      </c>
      <c r="M48" s="6" t="str">
        <f>IF(ISBLANK(B48),"",INDEX(I7_Index,MATCH(L48,I7_Index_ID,0)))</f>
        <v/>
      </c>
      <c r="N48" s="13">
        <v>2</v>
      </c>
      <c r="O48" s="26" t="str">
        <f t="shared" si="5"/>
        <v/>
      </c>
      <c r="P48" s="6" t="str">
        <f>IF(ISBLANK(B48),"",INDEX(I5_Index,MATCH(O48,I5_Index_ID,0)))</f>
        <v/>
      </c>
    </row>
    <row r="49" spans="1:16" x14ac:dyDescent="0.25">
      <c r="A49" s="6">
        <v>35</v>
      </c>
      <c r="B49" s="21"/>
      <c r="C49" s="21"/>
      <c r="D49" s="21"/>
      <c r="E49" s="21"/>
      <c r="F49" s="21"/>
      <c r="G49" s="6" t="str">
        <f t="shared" si="2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3"/>
        <v>#VALUE!</v>
      </c>
      <c r="K49" s="13">
        <v>3</v>
      </c>
      <c r="L49" s="26" t="str">
        <f t="shared" si="4"/>
        <v/>
      </c>
      <c r="M49" s="6" t="str">
        <f>IF(ISBLANK(B49),"",INDEX(I7_Index,MATCH(L49,I7_Index_ID,0)))</f>
        <v/>
      </c>
      <c r="N49" s="13">
        <v>3</v>
      </c>
      <c r="O49" s="26" t="str">
        <f t="shared" si="5"/>
        <v/>
      </c>
      <c r="P49" s="6" t="str">
        <f>IF(ISBLANK(B49),"",INDEX(I5_Index,MATCH(O49,I5_Index_ID,0)))</f>
        <v/>
      </c>
    </row>
    <row r="50" spans="1:16" x14ac:dyDescent="0.25">
      <c r="A50" s="6">
        <v>36</v>
      </c>
      <c r="B50" s="21"/>
      <c r="C50" s="21"/>
      <c r="D50" s="21"/>
      <c r="E50" s="21"/>
      <c r="F50" s="21"/>
      <c r="G50" s="6" t="str">
        <f t="shared" si="2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3"/>
        <v>#VALUE!</v>
      </c>
      <c r="K50" s="13">
        <v>4</v>
      </c>
      <c r="L50" s="26" t="str">
        <f t="shared" si="4"/>
        <v/>
      </c>
      <c r="M50" s="6" t="str">
        <f>IF(ISBLANK(B50),"",INDEX(I7_Index,MATCH(L50,I7_Index_ID,0)))</f>
        <v/>
      </c>
      <c r="N50" s="13">
        <v>4</v>
      </c>
      <c r="O50" s="26" t="str">
        <f t="shared" si="5"/>
        <v/>
      </c>
      <c r="P50" s="6" t="str">
        <f>IF(ISBLANK(B50),"",INDEX(I5_Index,MATCH(O50,I5_Index_ID,0)))</f>
        <v/>
      </c>
    </row>
    <row r="51" spans="1:16" x14ac:dyDescent="0.25">
      <c r="A51" s="6">
        <v>37</v>
      </c>
      <c r="B51" s="21"/>
      <c r="C51" s="21"/>
      <c r="D51" s="21"/>
      <c r="E51" s="21"/>
      <c r="F51" s="21"/>
      <c r="G51" s="6" t="str">
        <f t="shared" si="2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3"/>
        <v>#VALUE!</v>
      </c>
      <c r="K51" s="13">
        <v>5</v>
      </c>
      <c r="L51" s="26" t="str">
        <f t="shared" si="4"/>
        <v/>
      </c>
      <c r="M51" s="6" t="str">
        <f>IF(ISBLANK(B51),"",INDEX(I7_Index,MATCH(L51,I7_Index_ID,0)))</f>
        <v/>
      </c>
      <c r="N51" s="13">
        <v>5</v>
      </c>
      <c r="O51" s="26" t="str">
        <f t="shared" si="5"/>
        <v/>
      </c>
      <c r="P51" s="6" t="str">
        <f>IF(ISBLANK(B51),"",INDEX(I5_Index,MATCH(O51,I5_Index_ID,0)))</f>
        <v/>
      </c>
    </row>
    <row r="52" spans="1:16" x14ac:dyDescent="0.25">
      <c r="A52" s="6">
        <v>38</v>
      </c>
      <c r="B52" s="21"/>
      <c r="C52" s="21"/>
      <c r="D52" s="21"/>
      <c r="E52" s="21"/>
      <c r="F52" s="21"/>
      <c r="G52" s="6" t="str">
        <f t="shared" si="2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3"/>
        <v>#VALUE!</v>
      </c>
      <c r="K52" s="13">
        <v>6</v>
      </c>
      <c r="L52" s="26" t="str">
        <f t="shared" si="4"/>
        <v/>
      </c>
      <c r="M52" s="6" t="str">
        <f>IF(ISBLANK(B52),"",INDEX(I7_Index,MATCH(L52,I7_Index_ID,0)))</f>
        <v/>
      </c>
      <c r="N52" s="13">
        <v>6</v>
      </c>
      <c r="O52" s="26" t="str">
        <f t="shared" si="5"/>
        <v/>
      </c>
      <c r="P52" s="6" t="str">
        <f>IF(ISBLANK(B52),"",INDEX(I5_Index,MATCH(O52,I5_Index_ID,0)))</f>
        <v/>
      </c>
    </row>
    <row r="53" spans="1:16" x14ac:dyDescent="0.25">
      <c r="A53" s="6">
        <v>39</v>
      </c>
      <c r="B53" s="21"/>
      <c r="C53" s="21"/>
      <c r="D53" s="21"/>
      <c r="E53" s="21"/>
      <c r="F53" s="21"/>
      <c r="G53" s="6" t="str">
        <f t="shared" si="2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3"/>
        <v>#VALUE!</v>
      </c>
      <c r="K53" s="13">
        <v>7</v>
      </c>
      <c r="L53" s="26" t="str">
        <f t="shared" si="4"/>
        <v/>
      </c>
      <c r="M53" s="6" t="str">
        <f>IF(ISBLANK(B53),"",INDEX(I7_Index,MATCH(L53,I7_Index_ID,0)))</f>
        <v/>
      </c>
      <c r="N53" s="13">
        <v>7</v>
      </c>
      <c r="O53" s="26" t="str">
        <f t="shared" si="5"/>
        <v/>
      </c>
      <c r="P53" s="6" t="str">
        <f>IF(ISBLANK(B53),"",INDEX(I5_Index,MATCH(O53,I5_Index_ID,0)))</f>
        <v/>
      </c>
    </row>
    <row r="54" spans="1:16" ht="16.5" thickBot="1" x14ac:dyDescent="0.3">
      <c r="A54" s="8">
        <v>40</v>
      </c>
      <c r="B54" s="22"/>
      <c r="C54" s="22"/>
      <c r="D54" s="22"/>
      <c r="E54" s="22"/>
      <c r="F54" s="22"/>
      <c r="G54" s="8" t="str">
        <f t="shared" si="2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3"/>
        <v>#VALUE!</v>
      </c>
      <c r="K54" s="19">
        <v>8</v>
      </c>
      <c r="L54" s="27" t="str">
        <f t="shared" si="4"/>
        <v/>
      </c>
      <c r="M54" s="8" t="str">
        <f>IF(ISBLANK(B54),"",INDEX(I7_Index,MATCH(L54,I7_Index_ID,0)))</f>
        <v/>
      </c>
      <c r="N54" s="19">
        <v>8</v>
      </c>
      <c r="O54" s="27" t="str">
        <f t="shared" si="5"/>
        <v/>
      </c>
      <c r="P54" s="8" t="str">
        <f>IF(ISBLANK(B54),"",INDEX(I5_Index,MATCH(O54,I5_Index_ID,0)))</f>
        <v/>
      </c>
    </row>
    <row r="55" spans="1:16" x14ac:dyDescent="0.25">
      <c r="A55" s="6">
        <v>41</v>
      </c>
      <c r="B55" s="21"/>
      <c r="C55" s="21"/>
      <c r="D55" s="21"/>
      <c r="E55" s="21"/>
      <c r="F55" s="21"/>
      <c r="G55" s="6" t="str">
        <f t="shared" si="2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3"/>
        <v>#VALUE!</v>
      </c>
      <c r="K55" s="13">
        <v>1</v>
      </c>
      <c r="L55" s="26" t="str">
        <f t="shared" si="4"/>
        <v/>
      </c>
      <c r="M55" s="6" t="str">
        <f>IF(ISBLANK(B55),"",INDEX(I7_Index,MATCH(L55,I7_Index_ID,0)))</f>
        <v/>
      </c>
      <c r="N55" s="13">
        <v>1</v>
      </c>
      <c r="O55" s="26" t="str">
        <f t="shared" si="5"/>
        <v/>
      </c>
      <c r="P55" s="6" t="str">
        <f>IF(ISBLANK(B55),"",INDEX(I5_Index,MATCH(O55,I5_Index_ID,0)))</f>
        <v/>
      </c>
    </row>
    <row r="56" spans="1:16" x14ac:dyDescent="0.25">
      <c r="A56" s="6">
        <v>42</v>
      </c>
      <c r="B56" s="21"/>
      <c r="C56" s="21"/>
      <c r="D56" s="21"/>
      <c r="E56" s="21"/>
      <c r="F56" s="21"/>
      <c r="G56" s="6" t="str">
        <f t="shared" si="2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3"/>
        <v>#VALUE!</v>
      </c>
      <c r="K56" s="13">
        <v>2</v>
      </c>
      <c r="L56" s="26" t="str">
        <f t="shared" si="4"/>
        <v/>
      </c>
      <c r="M56" s="6" t="str">
        <f>IF(ISBLANK(B56),"",INDEX(I7_Index,MATCH(L56,I7_Index_ID,0)))</f>
        <v/>
      </c>
      <c r="N56" s="13">
        <v>2</v>
      </c>
      <c r="O56" s="26" t="str">
        <f t="shared" si="5"/>
        <v/>
      </c>
      <c r="P56" s="6" t="str">
        <f>IF(ISBLANK(B56),"",INDEX(I5_Index,MATCH(O56,I5_Index_ID,0)))</f>
        <v/>
      </c>
    </row>
    <row r="57" spans="1:16" x14ac:dyDescent="0.25">
      <c r="A57" s="6">
        <v>43</v>
      </c>
      <c r="B57" s="21"/>
      <c r="C57" s="21"/>
      <c r="D57" s="21"/>
      <c r="E57" s="21"/>
      <c r="F57" s="21"/>
      <c r="G57" s="6" t="str">
        <f t="shared" si="2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3"/>
        <v>#VALUE!</v>
      </c>
      <c r="K57" s="13">
        <v>3</v>
      </c>
      <c r="L57" s="26" t="str">
        <f t="shared" si="4"/>
        <v/>
      </c>
      <c r="M57" s="6" t="str">
        <f>IF(ISBLANK(B57),"",INDEX(I7_Index,MATCH(L57,I7_Index_ID,0)))</f>
        <v/>
      </c>
      <c r="N57" s="13">
        <v>3</v>
      </c>
      <c r="O57" s="26" t="str">
        <f t="shared" si="5"/>
        <v/>
      </c>
      <c r="P57" s="6" t="str">
        <f>IF(ISBLANK(B57),"",INDEX(I5_Index,MATCH(O57,I5_Index_ID,0)))</f>
        <v/>
      </c>
    </row>
    <row r="58" spans="1:16" x14ac:dyDescent="0.25">
      <c r="A58" s="6">
        <v>44</v>
      </c>
      <c r="B58" s="21"/>
      <c r="C58" s="21"/>
      <c r="D58" s="21"/>
      <c r="E58" s="21"/>
      <c r="F58" s="21"/>
      <c r="G58" s="6" t="str">
        <f t="shared" si="2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3"/>
        <v>#VALUE!</v>
      </c>
      <c r="K58" s="13">
        <v>4</v>
      </c>
      <c r="L58" s="26" t="str">
        <f t="shared" si="4"/>
        <v/>
      </c>
      <c r="M58" s="6" t="str">
        <f>IF(ISBLANK(B58),"",INDEX(I7_Index,MATCH(L58,I7_Index_ID,0)))</f>
        <v/>
      </c>
      <c r="N58" s="13">
        <v>4</v>
      </c>
      <c r="O58" s="26" t="str">
        <f t="shared" si="5"/>
        <v/>
      </c>
      <c r="P58" s="6" t="str">
        <f>IF(ISBLANK(B58),"",INDEX(I5_Index,MATCH(O58,I5_Index_ID,0)))</f>
        <v/>
      </c>
    </row>
    <row r="59" spans="1:16" x14ac:dyDescent="0.25">
      <c r="A59" s="6">
        <v>45</v>
      </c>
      <c r="B59" s="21"/>
      <c r="C59" s="21"/>
      <c r="D59" s="21"/>
      <c r="E59" s="21"/>
      <c r="F59" s="21"/>
      <c r="G59" s="6" t="str">
        <f t="shared" si="2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3"/>
        <v>#VALUE!</v>
      </c>
      <c r="K59" s="13">
        <v>5</v>
      </c>
      <c r="L59" s="26" t="str">
        <f t="shared" si="4"/>
        <v/>
      </c>
      <c r="M59" s="6" t="str">
        <f>IF(ISBLANK(B59),"",INDEX(I7_Index,MATCH(L59,I7_Index_ID,0)))</f>
        <v/>
      </c>
      <c r="N59" s="13">
        <v>5</v>
      </c>
      <c r="O59" s="26" t="str">
        <f t="shared" si="5"/>
        <v/>
      </c>
      <c r="P59" s="6" t="str">
        <f>IF(ISBLANK(B59),"",INDEX(I5_Index,MATCH(O59,I5_Index_ID,0)))</f>
        <v/>
      </c>
    </row>
    <row r="60" spans="1:16" x14ac:dyDescent="0.25">
      <c r="A60" s="6">
        <v>46</v>
      </c>
      <c r="B60" s="21"/>
      <c r="C60" s="21"/>
      <c r="D60" s="21"/>
      <c r="E60" s="21"/>
      <c r="F60" s="21"/>
      <c r="G60" s="6" t="str">
        <f t="shared" si="2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3"/>
        <v>#VALUE!</v>
      </c>
      <c r="K60" s="13">
        <v>6</v>
      </c>
      <c r="L60" s="26" t="str">
        <f t="shared" si="4"/>
        <v/>
      </c>
      <c r="M60" s="6" t="str">
        <f>IF(ISBLANK(B60),"",INDEX(I7_Index,MATCH(L60,I7_Index_ID,0)))</f>
        <v/>
      </c>
      <c r="N60" s="13">
        <v>6</v>
      </c>
      <c r="O60" s="26" t="str">
        <f t="shared" si="5"/>
        <v/>
      </c>
      <c r="P60" s="6" t="str">
        <f>IF(ISBLANK(B60),"",INDEX(I5_Index,MATCH(O60,I5_Index_ID,0)))</f>
        <v/>
      </c>
    </row>
    <row r="61" spans="1:16" x14ac:dyDescent="0.25">
      <c r="A61" s="6">
        <v>47</v>
      </c>
      <c r="B61" s="21"/>
      <c r="C61" s="21"/>
      <c r="D61" s="21"/>
      <c r="E61" s="21"/>
      <c r="F61" s="21"/>
      <c r="G61" s="6" t="str">
        <f t="shared" si="2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3"/>
        <v>#VALUE!</v>
      </c>
      <c r="K61" s="13">
        <v>7</v>
      </c>
      <c r="L61" s="26" t="str">
        <f t="shared" si="4"/>
        <v/>
      </c>
      <c r="M61" s="6" t="str">
        <f>IF(ISBLANK(B61),"",INDEX(I7_Index,MATCH(L61,I7_Index_ID,0)))</f>
        <v/>
      </c>
      <c r="N61" s="13">
        <v>7</v>
      </c>
      <c r="O61" s="26" t="str">
        <f t="shared" si="5"/>
        <v/>
      </c>
      <c r="P61" s="6" t="str">
        <f>IF(ISBLANK(B61),"",INDEX(I5_Index,MATCH(O61,I5_Index_ID,0)))</f>
        <v/>
      </c>
    </row>
    <row r="62" spans="1:16" ht="16.5" thickBot="1" x14ac:dyDescent="0.3">
      <c r="A62" s="8">
        <v>48</v>
      </c>
      <c r="B62" s="22"/>
      <c r="C62" s="22"/>
      <c r="D62" s="22"/>
      <c r="E62" s="22"/>
      <c r="F62" s="22"/>
      <c r="G62" s="8" t="str">
        <f t="shared" si="2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3"/>
        <v>#VALUE!</v>
      </c>
      <c r="K62" s="19">
        <v>8</v>
      </c>
      <c r="L62" s="27" t="str">
        <f t="shared" si="4"/>
        <v/>
      </c>
      <c r="M62" s="8" t="str">
        <f>IF(ISBLANK(B62),"",INDEX(I7_Index,MATCH(L62,I7_Index_ID,0)))</f>
        <v/>
      </c>
      <c r="N62" s="19">
        <v>8</v>
      </c>
      <c r="O62" s="27" t="str">
        <f t="shared" si="5"/>
        <v/>
      </c>
      <c r="P62" s="8" t="str">
        <f>IF(ISBLANK(B62),"",INDEX(I5_Index,MATCH(O62,I5_Index_ID,0)))</f>
        <v/>
      </c>
    </row>
    <row r="63" spans="1:16" x14ac:dyDescent="0.25">
      <c r="A63" s="6">
        <v>49</v>
      </c>
      <c r="B63" s="21"/>
      <c r="C63" s="21"/>
      <c r="D63" s="21"/>
      <c r="E63" s="21"/>
      <c r="F63" s="21"/>
      <c r="G63" s="6" t="str">
        <f t="shared" si="2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3"/>
        <v>#VALUE!</v>
      </c>
      <c r="K63" s="13">
        <v>1</v>
      </c>
      <c r="L63" s="26" t="str">
        <f t="shared" si="4"/>
        <v/>
      </c>
      <c r="M63" s="6" t="str">
        <f>IF(ISBLANK(B63),"",INDEX(I7_Index,MATCH(L63,I7_Index_ID,0)))</f>
        <v/>
      </c>
      <c r="N63" s="13">
        <v>1</v>
      </c>
      <c r="O63" s="26" t="str">
        <f t="shared" si="5"/>
        <v/>
      </c>
      <c r="P63" s="6" t="str">
        <f>IF(ISBLANK(B63),"",INDEX(I5_Index,MATCH(O63,I5_Index_ID,0)))</f>
        <v/>
      </c>
    </row>
    <row r="64" spans="1:16" x14ac:dyDescent="0.25">
      <c r="A64" s="6">
        <v>50</v>
      </c>
      <c r="B64" s="21"/>
      <c r="C64" s="21"/>
      <c r="D64" s="21"/>
      <c r="E64" s="21"/>
      <c r="F64" s="21"/>
      <c r="G64" s="6" t="str">
        <f t="shared" si="2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3"/>
        <v>#VALUE!</v>
      </c>
      <c r="K64" s="13">
        <v>2</v>
      </c>
      <c r="L64" s="26" t="str">
        <f t="shared" si="4"/>
        <v/>
      </c>
      <c r="M64" s="6" t="str">
        <f>IF(ISBLANK(B64),"",INDEX(I7_Index,MATCH(L64,I7_Index_ID,0)))</f>
        <v/>
      </c>
      <c r="N64" s="13">
        <v>2</v>
      </c>
      <c r="O64" s="26" t="str">
        <f t="shared" si="5"/>
        <v/>
      </c>
      <c r="P64" s="6" t="str">
        <f>IF(ISBLANK(B64),"",INDEX(I5_Index,MATCH(O64,I5_Index_ID,0)))</f>
        <v/>
      </c>
    </row>
    <row r="65" spans="1:16" x14ac:dyDescent="0.25">
      <c r="A65" s="6">
        <v>51</v>
      </c>
      <c r="B65" s="21"/>
      <c r="C65" s="21"/>
      <c r="D65" s="21"/>
      <c r="E65" s="21"/>
      <c r="F65" s="21"/>
      <c r="G65" s="6" t="str">
        <f t="shared" si="2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3"/>
        <v>#VALUE!</v>
      </c>
      <c r="K65" s="13">
        <v>3</v>
      </c>
      <c r="L65" s="26" t="str">
        <f t="shared" si="4"/>
        <v/>
      </c>
      <c r="M65" s="6" t="str">
        <f>IF(ISBLANK(B65),"",INDEX(I7_Index,MATCH(L65,I7_Index_ID,0)))</f>
        <v/>
      </c>
      <c r="N65" s="13">
        <v>3</v>
      </c>
      <c r="O65" s="26" t="str">
        <f t="shared" si="5"/>
        <v/>
      </c>
      <c r="P65" s="6" t="str">
        <f>IF(ISBLANK(B65),"",INDEX(I5_Index,MATCH(O65,I5_Index_ID,0)))</f>
        <v/>
      </c>
    </row>
    <row r="66" spans="1:16" x14ac:dyDescent="0.25">
      <c r="A66" s="6">
        <v>52</v>
      </c>
      <c r="B66" s="21"/>
      <c r="C66" s="21"/>
      <c r="D66" s="21"/>
      <c r="E66" s="21"/>
      <c r="F66" s="21"/>
      <c r="G66" s="6" t="str">
        <f t="shared" si="2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3"/>
        <v>#VALUE!</v>
      </c>
      <c r="K66" s="13">
        <v>4</v>
      </c>
      <c r="L66" s="26" t="str">
        <f t="shared" si="4"/>
        <v/>
      </c>
      <c r="M66" s="6" t="str">
        <f>IF(ISBLANK(B66),"",INDEX(I7_Index,MATCH(L66,I7_Index_ID,0)))</f>
        <v/>
      </c>
      <c r="N66" s="13">
        <v>4</v>
      </c>
      <c r="O66" s="26" t="str">
        <f t="shared" si="5"/>
        <v/>
      </c>
      <c r="P66" s="6" t="str">
        <f>IF(ISBLANK(B66),"",INDEX(I5_Index,MATCH(O66,I5_Index_ID,0)))</f>
        <v/>
      </c>
    </row>
    <row r="67" spans="1:16" x14ac:dyDescent="0.25">
      <c r="A67" s="6">
        <v>53</v>
      </c>
      <c r="B67" s="21"/>
      <c r="C67" s="21"/>
      <c r="D67" s="21"/>
      <c r="E67" s="21"/>
      <c r="F67" s="21"/>
      <c r="G67" s="6" t="str">
        <f t="shared" si="2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3"/>
        <v>#VALUE!</v>
      </c>
      <c r="K67" s="13">
        <v>5</v>
      </c>
      <c r="L67" s="26" t="str">
        <f t="shared" si="4"/>
        <v/>
      </c>
      <c r="M67" s="6" t="str">
        <f>IF(ISBLANK(B67),"",INDEX(I7_Index,MATCH(L67,I7_Index_ID,0)))</f>
        <v/>
      </c>
      <c r="N67" s="13">
        <v>5</v>
      </c>
      <c r="O67" s="26" t="str">
        <f t="shared" si="5"/>
        <v/>
      </c>
      <c r="P67" s="6" t="str">
        <f>IF(ISBLANK(B67),"",INDEX(I5_Index,MATCH(O67,I5_Index_ID,0)))</f>
        <v/>
      </c>
    </row>
    <row r="68" spans="1:16" x14ac:dyDescent="0.25">
      <c r="A68" s="6">
        <v>54</v>
      </c>
      <c r="B68" s="21"/>
      <c r="C68" s="21"/>
      <c r="D68" s="21"/>
      <c r="E68" s="21"/>
      <c r="F68" s="21"/>
      <c r="G68" s="6" t="str">
        <f t="shared" si="2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3"/>
        <v>#VALUE!</v>
      </c>
      <c r="K68" s="13">
        <v>6</v>
      </c>
      <c r="L68" s="26" t="str">
        <f t="shared" si="4"/>
        <v/>
      </c>
      <c r="M68" s="6" t="str">
        <f>IF(ISBLANK(B68),"",INDEX(I7_Index,MATCH(L68,I7_Index_ID,0)))</f>
        <v/>
      </c>
      <c r="N68" s="13">
        <v>6</v>
      </c>
      <c r="O68" s="26" t="str">
        <f t="shared" si="5"/>
        <v/>
      </c>
      <c r="P68" s="6" t="str">
        <f>IF(ISBLANK(B68),"",INDEX(I5_Index,MATCH(O68,I5_Index_ID,0)))</f>
        <v/>
      </c>
    </row>
    <row r="69" spans="1:16" x14ac:dyDescent="0.25">
      <c r="A69" s="6">
        <v>55</v>
      </c>
      <c r="B69" s="21"/>
      <c r="C69" s="21"/>
      <c r="D69" s="21"/>
      <c r="E69" s="21"/>
      <c r="F69" s="21"/>
      <c r="G69" s="6" t="str">
        <f t="shared" si="2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3"/>
        <v>#VALUE!</v>
      </c>
      <c r="K69" s="13">
        <v>7</v>
      </c>
      <c r="L69" s="26" t="str">
        <f t="shared" si="4"/>
        <v/>
      </c>
      <c r="M69" s="6" t="str">
        <f>IF(ISBLANK(B69),"",INDEX(I7_Index,MATCH(L69,I7_Index_ID,0)))</f>
        <v/>
      </c>
      <c r="N69" s="13">
        <v>7</v>
      </c>
      <c r="O69" s="26" t="str">
        <f t="shared" si="5"/>
        <v/>
      </c>
      <c r="P69" s="6" t="str">
        <f>IF(ISBLANK(B69),"",INDEX(I5_Index,MATCH(O69,I5_Index_ID,0)))</f>
        <v/>
      </c>
    </row>
    <row r="70" spans="1:16" ht="16.5" thickBot="1" x14ac:dyDescent="0.3">
      <c r="A70" s="8">
        <v>56</v>
      </c>
      <c r="B70" s="22"/>
      <c r="C70" s="22"/>
      <c r="D70" s="22"/>
      <c r="E70" s="22"/>
      <c r="F70" s="22"/>
      <c r="G70" s="8" t="str">
        <f t="shared" si="2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3"/>
        <v>#VALUE!</v>
      </c>
      <c r="K70" s="19">
        <v>8</v>
      </c>
      <c r="L70" s="27" t="str">
        <f t="shared" si="4"/>
        <v/>
      </c>
      <c r="M70" s="8" t="str">
        <f>IF(ISBLANK(B70),"",INDEX(I7_Index,MATCH(L70,I7_Index_ID,0)))</f>
        <v/>
      </c>
      <c r="N70" s="19">
        <v>8</v>
      </c>
      <c r="O70" s="27" t="str">
        <f t="shared" si="5"/>
        <v/>
      </c>
      <c r="P70" s="8" t="str">
        <f>IF(ISBLANK(B70),"",INDEX(I5_Index,MATCH(O70,I5_Index_ID,0)))</f>
        <v/>
      </c>
    </row>
    <row r="71" spans="1:16" x14ac:dyDescent="0.25">
      <c r="A71" s="6">
        <v>57</v>
      </c>
      <c r="B71" s="21"/>
      <c r="C71" s="21"/>
      <c r="D71" s="21"/>
      <c r="E71" s="21"/>
      <c r="F71" s="21"/>
      <c r="G71" s="6" t="str">
        <f t="shared" si="2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3"/>
        <v>#VALUE!</v>
      </c>
      <c r="K71" s="13">
        <v>1</v>
      </c>
      <c r="L71" s="26" t="str">
        <f t="shared" si="4"/>
        <v/>
      </c>
      <c r="M71" s="6" t="str">
        <f>IF(ISBLANK(B71),"",INDEX(I7_Index,MATCH(L71,I7_Index_ID,0)))</f>
        <v/>
      </c>
      <c r="N71" s="13">
        <v>1</v>
      </c>
      <c r="O71" s="26" t="str">
        <f t="shared" si="5"/>
        <v/>
      </c>
      <c r="P71" s="6" t="str">
        <f>IF(ISBLANK(B71),"",INDEX(I5_Index,MATCH(O71,I5_Index_ID,0)))</f>
        <v/>
      </c>
    </row>
    <row r="72" spans="1:16" x14ac:dyDescent="0.25">
      <c r="A72" s="6">
        <v>58</v>
      </c>
      <c r="B72" s="21"/>
      <c r="C72" s="21"/>
      <c r="D72" s="21"/>
      <c r="E72" s="21"/>
      <c r="F72" s="21"/>
      <c r="G72" s="6" t="str">
        <f t="shared" si="2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3"/>
        <v>#VALUE!</v>
      </c>
      <c r="K72" s="13">
        <v>2</v>
      </c>
      <c r="L72" s="26" t="str">
        <f t="shared" si="4"/>
        <v/>
      </c>
      <c r="M72" s="6" t="str">
        <f>IF(ISBLANK(B72),"",INDEX(I7_Index,MATCH(L72,I7_Index_ID,0)))</f>
        <v/>
      </c>
      <c r="N72" s="13">
        <v>2</v>
      </c>
      <c r="O72" s="26" t="str">
        <f t="shared" si="5"/>
        <v/>
      </c>
      <c r="P72" s="6" t="str">
        <f>IF(ISBLANK(B72),"",INDEX(I5_Index,MATCH(O72,I5_Index_ID,0)))</f>
        <v/>
      </c>
    </row>
    <row r="73" spans="1:16" x14ac:dyDescent="0.25">
      <c r="A73" s="6">
        <v>59</v>
      </c>
      <c r="B73" s="21"/>
      <c r="C73" s="21"/>
      <c r="D73" s="21"/>
      <c r="E73" s="21"/>
      <c r="F73" s="21"/>
      <c r="G73" s="6" t="str">
        <f t="shared" si="2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3"/>
        <v>#VALUE!</v>
      </c>
      <c r="K73" s="13">
        <v>3</v>
      </c>
      <c r="L73" s="26" t="str">
        <f t="shared" si="4"/>
        <v/>
      </c>
      <c r="M73" s="6" t="str">
        <f>IF(ISBLANK(B73),"",INDEX(I7_Index,MATCH(L73,I7_Index_ID,0)))</f>
        <v/>
      </c>
      <c r="N73" s="13">
        <v>3</v>
      </c>
      <c r="O73" s="26" t="str">
        <f t="shared" si="5"/>
        <v/>
      </c>
      <c r="P73" s="6" t="str">
        <f>IF(ISBLANK(B73),"",INDEX(I5_Index,MATCH(O73,I5_Index_ID,0)))</f>
        <v/>
      </c>
    </row>
    <row r="74" spans="1:16" x14ac:dyDescent="0.25">
      <c r="A74" s="6">
        <v>60</v>
      </c>
      <c r="B74" s="21"/>
      <c r="C74" s="21"/>
      <c r="D74" s="21"/>
      <c r="E74" s="21"/>
      <c r="F74" s="21"/>
      <c r="G74" s="6" t="str">
        <f t="shared" si="2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3"/>
        <v>#VALUE!</v>
      </c>
      <c r="K74" s="13">
        <v>4</v>
      </c>
      <c r="L74" s="26" t="str">
        <f t="shared" si="4"/>
        <v/>
      </c>
      <c r="M74" s="6" t="str">
        <f>IF(ISBLANK(B74),"",INDEX(I7_Index,MATCH(L74,I7_Index_ID,0)))</f>
        <v/>
      </c>
      <c r="N74" s="13">
        <v>4</v>
      </c>
      <c r="O74" s="26" t="str">
        <f t="shared" si="5"/>
        <v/>
      </c>
      <c r="P74" s="6" t="str">
        <f>IF(ISBLANK(B74),"",INDEX(I5_Index,MATCH(O74,I5_Index_ID,0)))</f>
        <v/>
      </c>
    </row>
    <row r="75" spans="1:16" x14ac:dyDescent="0.25">
      <c r="A75" s="6">
        <v>61</v>
      </c>
      <c r="B75" s="21"/>
      <c r="C75" s="21"/>
      <c r="D75" s="21"/>
      <c r="E75" s="21"/>
      <c r="F75" s="21"/>
      <c r="G75" s="6" t="str">
        <f t="shared" si="2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3"/>
        <v>#VALUE!</v>
      </c>
      <c r="K75" s="13">
        <v>5</v>
      </c>
      <c r="L75" s="26" t="str">
        <f t="shared" si="4"/>
        <v/>
      </c>
      <c r="M75" s="6" t="str">
        <f>IF(ISBLANK(B75),"",INDEX(I7_Index,MATCH(L75,I7_Index_ID,0)))</f>
        <v/>
      </c>
      <c r="N75" s="13">
        <v>5</v>
      </c>
      <c r="O75" s="26" t="str">
        <f t="shared" si="5"/>
        <v/>
      </c>
      <c r="P75" s="6" t="str">
        <f>IF(ISBLANK(B75),"",INDEX(I5_Index,MATCH(O75,I5_Index_ID,0)))</f>
        <v/>
      </c>
    </row>
    <row r="76" spans="1:16" x14ac:dyDescent="0.25">
      <c r="A76" s="6">
        <v>62</v>
      </c>
      <c r="B76" s="21"/>
      <c r="C76" s="21"/>
      <c r="D76" s="21"/>
      <c r="E76" s="21"/>
      <c r="F76" s="21"/>
      <c r="G76" s="6" t="str">
        <f t="shared" si="2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3"/>
        <v>#VALUE!</v>
      </c>
      <c r="K76" s="13">
        <v>6</v>
      </c>
      <c r="L76" s="26" t="str">
        <f t="shared" si="4"/>
        <v/>
      </c>
      <c r="M76" s="6" t="str">
        <f>IF(ISBLANK(B76),"",INDEX(I7_Index,MATCH(L76,I7_Index_ID,0)))</f>
        <v/>
      </c>
      <c r="N76" s="13">
        <v>6</v>
      </c>
      <c r="O76" s="26" t="str">
        <f t="shared" si="5"/>
        <v/>
      </c>
      <c r="P76" s="6" t="str">
        <f>IF(ISBLANK(B76),"",INDEX(I5_Index,MATCH(O76,I5_Index_ID,0)))</f>
        <v/>
      </c>
    </row>
    <row r="77" spans="1:16" x14ac:dyDescent="0.25">
      <c r="A77" s="6">
        <v>63</v>
      </c>
      <c r="B77" s="21"/>
      <c r="C77" s="21"/>
      <c r="D77" s="21"/>
      <c r="E77" s="21"/>
      <c r="F77" s="21"/>
      <c r="G77" s="6" t="str">
        <f t="shared" si="2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3"/>
        <v>#VALUE!</v>
      </c>
      <c r="K77" s="13">
        <v>7</v>
      </c>
      <c r="L77" s="26" t="str">
        <f t="shared" si="4"/>
        <v/>
      </c>
      <c r="M77" s="6" t="str">
        <f>IF(ISBLANK(B77),"",INDEX(I7_Index,MATCH(L77,I7_Index_ID,0)))</f>
        <v/>
      </c>
      <c r="N77" s="13">
        <v>7</v>
      </c>
      <c r="O77" s="26" t="str">
        <f t="shared" si="5"/>
        <v/>
      </c>
      <c r="P77" s="6" t="str">
        <f>IF(ISBLANK(B77),"",INDEX(I5_Index,MATCH(O77,I5_Index_ID,0)))</f>
        <v/>
      </c>
    </row>
    <row r="78" spans="1:16" ht="16.5" thickBot="1" x14ac:dyDescent="0.3">
      <c r="A78" s="8">
        <v>64</v>
      </c>
      <c r="B78" s="22"/>
      <c r="C78" s="22"/>
      <c r="D78" s="22"/>
      <c r="E78" s="22"/>
      <c r="F78" s="22"/>
      <c r="G78" s="8" t="str">
        <f t="shared" si="2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3"/>
        <v>#VALUE!</v>
      </c>
      <c r="K78" s="19">
        <v>8</v>
      </c>
      <c r="L78" s="27" t="str">
        <f t="shared" si="4"/>
        <v/>
      </c>
      <c r="M78" s="8" t="str">
        <f>IF(ISBLANK(B78),"",INDEX(I7_Index,MATCH(L78,I7_Index_ID,0)))</f>
        <v/>
      </c>
      <c r="N78" s="19">
        <v>8</v>
      </c>
      <c r="O78" s="27" t="str">
        <f t="shared" si="5"/>
        <v/>
      </c>
      <c r="P78" s="8" t="str">
        <f>IF(ISBLANK(B78),"",INDEX(I5_Index,MATCH(O78,I5_Index_ID,0)))</f>
        <v/>
      </c>
    </row>
    <row r="79" spans="1:16" x14ac:dyDescent="0.25">
      <c r="A79" s="6">
        <v>65</v>
      </c>
      <c r="B79" s="21"/>
      <c r="C79" s="21"/>
      <c r="D79" s="21"/>
      <c r="E79" s="21"/>
      <c r="F79" s="21"/>
      <c r="G79" s="6" t="str">
        <f t="shared" si="2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3"/>
        <v>#VALUE!</v>
      </c>
      <c r="K79" s="13">
        <v>1</v>
      </c>
      <c r="L79" s="26" t="str">
        <f t="shared" ref="L79:L110" si="6">IF(ISBLANK(B79),"",INDEX(I7_Index_ID,H79))</f>
        <v/>
      </c>
      <c r="M79" s="6" t="str">
        <f>IF(ISBLANK(B79),"",INDEX(I7_Index,MATCH(L79,I7_Index_ID,0)))</f>
        <v/>
      </c>
      <c r="N79" s="13">
        <v>1</v>
      </c>
      <c r="O79" s="26" t="str">
        <f t="shared" ref="O79:O110" si="7">IF(ISBLANK(B79),"",INDEX(I5_Index_ID,I79))</f>
        <v/>
      </c>
      <c r="P79" s="6" t="str">
        <f>IF(ISBLANK(B79),"",INDEX(I5_Index,MATCH(O79,I5_Index_ID,0)))</f>
        <v/>
      </c>
    </row>
    <row r="80" spans="1:16" x14ac:dyDescent="0.25">
      <c r="A80" s="6">
        <v>66</v>
      </c>
      <c r="B80" s="21"/>
      <c r="C80" s="21"/>
      <c r="D80" s="21"/>
      <c r="E80" s="21"/>
      <c r="F80" s="21"/>
      <c r="G80" s="6" t="str">
        <f t="shared" si="2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3"/>
        <v>#VALUE!</v>
      </c>
      <c r="K80" s="13">
        <v>2</v>
      </c>
      <c r="L80" s="26" t="str">
        <f t="shared" si="6"/>
        <v/>
      </c>
      <c r="M80" s="6" t="str">
        <f>IF(ISBLANK(B80),"",INDEX(I7_Index,MATCH(L80,I7_Index_ID,0)))</f>
        <v/>
      </c>
      <c r="N80" s="13">
        <v>2</v>
      </c>
      <c r="O80" s="26" t="str">
        <f t="shared" si="7"/>
        <v/>
      </c>
      <c r="P80" s="6" t="str">
        <f>IF(ISBLANK(B80),"",INDEX(I5_Index,MATCH(O80,I5_Index_ID,0)))</f>
        <v/>
      </c>
    </row>
    <row r="81" spans="1:16" x14ac:dyDescent="0.25">
      <c r="A81" s="6">
        <v>67</v>
      </c>
      <c r="B81" s="21"/>
      <c r="C81" s="21"/>
      <c r="D81" s="21"/>
      <c r="E81" s="21"/>
      <c r="F81" s="21"/>
      <c r="G81" s="6" t="str">
        <f t="shared" ref="G81:G110" si="8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9">H81-H80</f>
        <v>#VALUE!</v>
      </c>
      <c r="K81" s="13">
        <v>3</v>
      </c>
      <c r="L81" s="26" t="str">
        <f t="shared" si="6"/>
        <v/>
      </c>
      <c r="M81" s="6" t="str">
        <f>IF(ISBLANK(B81),"",INDEX(I7_Index,MATCH(L81,I7_Index_ID,0)))</f>
        <v/>
      </c>
      <c r="N81" s="13">
        <v>3</v>
      </c>
      <c r="O81" s="26" t="str">
        <f t="shared" si="7"/>
        <v/>
      </c>
      <c r="P81" s="6" t="str">
        <f>IF(ISBLANK(B81),"",INDEX(I5_Index,MATCH(O81,I5_Index_ID,0)))</f>
        <v/>
      </c>
    </row>
    <row r="82" spans="1:16" x14ac:dyDescent="0.25">
      <c r="A82" s="6">
        <v>68</v>
      </c>
      <c r="B82" s="21"/>
      <c r="C82" s="21"/>
      <c r="D82" s="21"/>
      <c r="E82" s="21"/>
      <c r="F82" s="21"/>
      <c r="G82" s="6" t="str">
        <f t="shared" si="8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9"/>
        <v>#VALUE!</v>
      </c>
      <c r="K82" s="13">
        <v>4</v>
      </c>
      <c r="L82" s="26" t="str">
        <f t="shared" si="6"/>
        <v/>
      </c>
      <c r="M82" s="6" t="str">
        <f>IF(ISBLANK(B82),"",INDEX(I7_Index,MATCH(L82,I7_Index_ID,0)))</f>
        <v/>
      </c>
      <c r="N82" s="13">
        <v>4</v>
      </c>
      <c r="O82" s="26" t="str">
        <f t="shared" si="7"/>
        <v/>
      </c>
      <c r="P82" s="6" t="str">
        <f>IF(ISBLANK(B82),"",INDEX(I5_Index,MATCH(O82,I5_Index_ID,0)))</f>
        <v/>
      </c>
    </row>
    <row r="83" spans="1:16" x14ac:dyDescent="0.25">
      <c r="A83" s="6">
        <v>69</v>
      </c>
      <c r="B83" s="21"/>
      <c r="C83" s="21"/>
      <c r="D83" s="21"/>
      <c r="E83" s="21"/>
      <c r="F83" s="21"/>
      <c r="G83" s="6" t="str">
        <f t="shared" si="8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9"/>
        <v>#VALUE!</v>
      </c>
      <c r="K83" s="13">
        <v>5</v>
      </c>
      <c r="L83" s="26" t="str">
        <f t="shared" si="6"/>
        <v/>
      </c>
      <c r="M83" s="6" t="str">
        <f>IF(ISBLANK(B83),"",INDEX(I7_Index,MATCH(L83,I7_Index_ID,0)))</f>
        <v/>
      </c>
      <c r="N83" s="13">
        <v>5</v>
      </c>
      <c r="O83" s="26" t="str">
        <f t="shared" si="7"/>
        <v/>
      </c>
      <c r="P83" s="6" t="str">
        <f>IF(ISBLANK(B83),"",INDEX(I5_Index,MATCH(O83,I5_Index_ID,0)))</f>
        <v/>
      </c>
    </row>
    <row r="84" spans="1:16" x14ac:dyDescent="0.25">
      <c r="A84" s="6">
        <v>70</v>
      </c>
      <c r="B84" s="21"/>
      <c r="C84" s="21"/>
      <c r="D84" s="21"/>
      <c r="E84" s="21"/>
      <c r="F84" s="21"/>
      <c r="G84" s="6" t="str">
        <f t="shared" si="8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9"/>
        <v>#VALUE!</v>
      </c>
      <c r="K84" s="13">
        <v>6</v>
      </c>
      <c r="L84" s="26" t="str">
        <f t="shared" si="6"/>
        <v/>
      </c>
      <c r="M84" s="6" t="str">
        <f>IF(ISBLANK(B84),"",INDEX(I7_Index,MATCH(L84,I7_Index_ID,0)))</f>
        <v/>
      </c>
      <c r="N84" s="13">
        <v>6</v>
      </c>
      <c r="O84" s="26" t="str">
        <f t="shared" si="7"/>
        <v/>
      </c>
      <c r="P84" s="6" t="str">
        <f>IF(ISBLANK(B84),"",INDEX(I5_Index,MATCH(O84,I5_Index_ID,0)))</f>
        <v/>
      </c>
    </row>
    <row r="85" spans="1:16" x14ac:dyDescent="0.25">
      <c r="A85" s="6">
        <v>71</v>
      </c>
      <c r="B85" s="21"/>
      <c r="C85" s="21"/>
      <c r="D85" s="21"/>
      <c r="E85" s="21"/>
      <c r="F85" s="21"/>
      <c r="G85" s="6" t="str">
        <f t="shared" si="8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9"/>
        <v>#VALUE!</v>
      </c>
      <c r="K85" s="13">
        <v>7</v>
      </c>
      <c r="L85" s="26" t="str">
        <f t="shared" si="6"/>
        <v/>
      </c>
      <c r="M85" s="6" t="str">
        <f>IF(ISBLANK(B85),"",INDEX(I7_Index,MATCH(L85,I7_Index_ID,0)))</f>
        <v/>
      </c>
      <c r="N85" s="13">
        <v>7</v>
      </c>
      <c r="O85" s="26" t="str">
        <f t="shared" si="7"/>
        <v/>
      </c>
      <c r="P85" s="6" t="str">
        <f>IF(ISBLANK(B85),"",INDEX(I5_Index,MATCH(O85,I5_Index_ID,0)))</f>
        <v/>
      </c>
    </row>
    <row r="86" spans="1:16" ht="16.5" thickBot="1" x14ac:dyDescent="0.3">
      <c r="A86" s="8">
        <v>72</v>
      </c>
      <c r="B86" s="22"/>
      <c r="C86" s="22"/>
      <c r="D86" s="22"/>
      <c r="E86" s="22"/>
      <c r="F86" s="22"/>
      <c r="G86" s="8" t="str">
        <f t="shared" si="8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9"/>
        <v>#VALUE!</v>
      </c>
      <c r="K86" s="19">
        <v>8</v>
      </c>
      <c r="L86" s="27" t="str">
        <f t="shared" si="6"/>
        <v/>
      </c>
      <c r="M86" s="8" t="str">
        <f>IF(ISBLANK(B86),"",INDEX(I7_Index,MATCH(L86,I7_Index_ID,0)))</f>
        <v/>
      </c>
      <c r="N86" s="19">
        <v>8</v>
      </c>
      <c r="O86" s="27" t="str">
        <f t="shared" si="7"/>
        <v/>
      </c>
      <c r="P86" s="8" t="str">
        <f>IF(ISBLANK(B86),"",INDEX(I5_Index,MATCH(O86,I5_Index_ID,0)))</f>
        <v/>
      </c>
    </row>
    <row r="87" spans="1:16" x14ac:dyDescent="0.25">
      <c r="A87" s="6">
        <v>73</v>
      </c>
      <c r="B87" s="21"/>
      <c r="C87" s="21"/>
      <c r="D87" s="21"/>
      <c r="E87" s="21"/>
      <c r="F87" s="21"/>
      <c r="G87" s="6" t="str">
        <f t="shared" si="8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9"/>
        <v>#VALUE!</v>
      </c>
      <c r="K87" s="13">
        <v>1</v>
      </c>
      <c r="L87" s="26" t="str">
        <f t="shared" si="6"/>
        <v/>
      </c>
      <c r="M87" s="6" t="str">
        <f>IF(ISBLANK(B87),"",INDEX(I7_Index,MATCH(L87,I7_Index_ID,0)))</f>
        <v/>
      </c>
      <c r="N87" s="13">
        <v>1</v>
      </c>
      <c r="O87" s="26" t="str">
        <f t="shared" si="7"/>
        <v/>
      </c>
      <c r="P87" s="6" t="str">
        <f>IF(ISBLANK(B87),"",INDEX(I5_Index,MATCH(O87,I5_Index_ID,0)))</f>
        <v/>
      </c>
    </row>
    <row r="88" spans="1:16" x14ac:dyDescent="0.25">
      <c r="A88" s="6">
        <v>74</v>
      </c>
      <c r="B88" s="21"/>
      <c r="C88" s="21"/>
      <c r="D88" s="21"/>
      <c r="E88" s="21"/>
      <c r="F88" s="21"/>
      <c r="G88" s="6" t="str">
        <f t="shared" si="8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9"/>
        <v>#VALUE!</v>
      </c>
      <c r="K88" s="13">
        <v>2</v>
      </c>
      <c r="L88" s="26" t="str">
        <f t="shared" si="6"/>
        <v/>
      </c>
      <c r="M88" s="6" t="str">
        <f>IF(ISBLANK(B88),"",INDEX(I7_Index,MATCH(L88,I7_Index_ID,0)))</f>
        <v/>
      </c>
      <c r="N88" s="13">
        <v>2</v>
      </c>
      <c r="O88" s="26" t="str">
        <f t="shared" si="7"/>
        <v/>
      </c>
      <c r="P88" s="6" t="str">
        <f>IF(ISBLANK(B88),"",INDEX(I5_Index,MATCH(O88,I5_Index_ID,0)))</f>
        <v/>
      </c>
    </row>
    <row r="89" spans="1:16" x14ac:dyDescent="0.25">
      <c r="A89" s="6">
        <v>75</v>
      </c>
      <c r="B89" s="21"/>
      <c r="C89" s="21"/>
      <c r="D89" s="21"/>
      <c r="E89" s="21"/>
      <c r="F89" s="21"/>
      <c r="G89" s="6" t="str">
        <f t="shared" si="8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9"/>
        <v>#VALUE!</v>
      </c>
      <c r="K89" s="13">
        <v>3</v>
      </c>
      <c r="L89" s="26" t="str">
        <f t="shared" si="6"/>
        <v/>
      </c>
      <c r="M89" s="6" t="str">
        <f>IF(ISBLANK(B89),"",INDEX(I7_Index,MATCH(L89,I7_Index_ID,0)))</f>
        <v/>
      </c>
      <c r="N89" s="13">
        <v>3</v>
      </c>
      <c r="O89" s="26" t="str">
        <f t="shared" si="7"/>
        <v/>
      </c>
      <c r="P89" s="6" t="str">
        <f>IF(ISBLANK(B89),"",INDEX(I5_Index,MATCH(O89,I5_Index_ID,0)))</f>
        <v/>
      </c>
    </row>
    <row r="90" spans="1:16" x14ac:dyDescent="0.25">
      <c r="A90" s="6">
        <v>76</v>
      </c>
      <c r="B90" s="21"/>
      <c r="C90" s="21"/>
      <c r="D90" s="21"/>
      <c r="E90" s="21"/>
      <c r="F90" s="21"/>
      <c r="G90" s="6" t="str">
        <f t="shared" si="8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9"/>
        <v>#VALUE!</v>
      </c>
      <c r="K90" s="13">
        <v>4</v>
      </c>
      <c r="L90" s="26" t="str">
        <f t="shared" si="6"/>
        <v/>
      </c>
      <c r="M90" s="6" t="str">
        <f>IF(ISBLANK(B90),"",INDEX(I7_Index,MATCH(L90,I7_Index_ID,0)))</f>
        <v/>
      </c>
      <c r="N90" s="13">
        <v>4</v>
      </c>
      <c r="O90" s="26" t="str">
        <f t="shared" si="7"/>
        <v/>
      </c>
      <c r="P90" s="6" t="str">
        <f>IF(ISBLANK(B90),"",INDEX(I5_Index,MATCH(O90,I5_Index_ID,0)))</f>
        <v/>
      </c>
    </row>
    <row r="91" spans="1:16" x14ac:dyDescent="0.25">
      <c r="A91" s="6">
        <v>77</v>
      </c>
      <c r="B91" s="21"/>
      <c r="C91" s="21"/>
      <c r="D91" s="21"/>
      <c r="E91" s="21"/>
      <c r="F91" s="21"/>
      <c r="G91" s="6" t="str">
        <f t="shared" si="8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9"/>
        <v>#VALUE!</v>
      </c>
      <c r="K91" s="13">
        <v>5</v>
      </c>
      <c r="L91" s="26" t="str">
        <f t="shared" si="6"/>
        <v/>
      </c>
      <c r="M91" s="6" t="str">
        <f>IF(ISBLANK(B91),"",INDEX(I7_Index,MATCH(L91,I7_Index_ID,0)))</f>
        <v/>
      </c>
      <c r="N91" s="13">
        <v>5</v>
      </c>
      <c r="O91" s="26" t="str">
        <f t="shared" si="7"/>
        <v/>
      </c>
      <c r="P91" s="6" t="str">
        <f>IF(ISBLANK(B91),"",INDEX(I5_Index,MATCH(O91,I5_Index_ID,0)))</f>
        <v/>
      </c>
    </row>
    <row r="92" spans="1:16" x14ac:dyDescent="0.25">
      <c r="A92" s="6">
        <v>78</v>
      </c>
      <c r="B92" s="21"/>
      <c r="C92" s="21"/>
      <c r="D92" s="21"/>
      <c r="E92" s="21"/>
      <c r="F92" s="21"/>
      <c r="G92" s="6" t="str">
        <f t="shared" si="8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9"/>
        <v>#VALUE!</v>
      </c>
      <c r="K92" s="13">
        <v>6</v>
      </c>
      <c r="L92" s="26" t="str">
        <f t="shared" si="6"/>
        <v/>
      </c>
      <c r="M92" s="6" t="str">
        <f>IF(ISBLANK(B92),"",INDEX(I7_Index,MATCH(L92,I7_Index_ID,0)))</f>
        <v/>
      </c>
      <c r="N92" s="13">
        <v>6</v>
      </c>
      <c r="O92" s="26" t="str">
        <f t="shared" si="7"/>
        <v/>
      </c>
      <c r="P92" s="6" t="str">
        <f>IF(ISBLANK(B92),"",INDEX(I5_Index,MATCH(O92,I5_Index_ID,0)))</f>
        <v/>
      </c>
    </row>
    <row r="93" spans="1:16" x14ac:dyDescent="0.25">
      <c r="A93" s="6">
        <v>79</v>
      </c>
      <c r="B93" s="21"/>
      <c r="C93" s="21"/>
      <c r="D93" s="21"/>
      <c r="E93" s="21"/>
      <c r="F93" s="21"/>
      <c r="G93" s="6" t="str">
        <f t="shared" si="8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9"/>
        <v>#VALUE!</v>
      </c>
      <c r="K93" s="13">
        <v>7</v>
      </c>
      <c r="L93" s="26" t="str">
        <f t="shared" si="6"/>
        <v/>
      </c>
      <c r="M93" s="6" t="str">
        <f>IF(ISBLANK(B93),"",INDEX(I7_Index,MATCH(L93,I7_Index_ID,0)))</f>
        <v/>
      </c>
      <c r="N93" s="13">
        <v>7</v>
      </c>
      <c r="O93" s="26" t="str">
        <f t="shared" si="7"/>
        <v/>
      </c>
      <c r="P93" s="6" t="str">
        <f>IF(ISBLANK(B93),"",INDEX(I5_Index,MATCH(O93,I5_Index_ID,0)))</f>
        <v/>
      </c>
    </row>
    <row r="94" spans="1:16" ht="16.5" thickBot="1" x14ac:dyDescent="0.3">
      <c r="A94" s="8">
        <v>80</v>
      </c>
      <c r="B94" s="22"/>
      <c r="C94" s="22"/>
      <c r="D94" s="22"/>
      <c r="E94" s="22"/>
      <c r="F94" s="22"/>
      <c r="G94" s="8" t="str">
        <f t="shared" si="8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9"/>
        <v>#VALUE!</v>
      </c>
      <c r="K94" s="19">
        <v>8</v>
      </c>
      <c r="L94" s="27" t="str">
        <f t="shared" si="6"/>
        <v/>
      </c>
      <c r="M94" s="8" t="str">
        <f>IF(ISBLANK(B94),"",INDEX(I7_Index,MATCH(L94,I7_Index_ID,0)))</f>
        <v/>
      </c>
      <c r="N94" s="19">
        <v>8</v>
      </c>
      <c r="O94" s="27" t="str">
        <f t="shared" si="7"/>
        <v/>
      </c>
      <c r="P94" s="8" t="str">
        <f>IF(ISBLANK(B94),"",INDEX(I5_Index,MATCH(O94,I5_Index_ID,0)))</f>
        <v/>
      </c>
    </row>
    <row r="95" spans="1:16" x14ac:dyDescent="0.25">
      <c r="A95" s="6">
        <v>81</v>
      </c>
      <c r="B95" s="21"/>
      <c r="C95" s="21"/>
      <c r="D95" s="21"/>
      <c r="E95" s="21"/>
      <c r="F95" s="21"/>
      <c r="G95" s="6" t="str">
        <f t="shared" si="8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9"/>
        <v>#VALUE!</v>
      </c>
      <c r="K95" s="13">
        <v>1</v>
      </c>
      <c r="L95" s="26" t="str">
        <f t="shared" si="6"/>
        <v/>
      </c>
      <c r="M95" s="6" t="str">
        <f>IF(ISBLANK(B95),"",INDEX(I7_Index,MATCH(L95,I7_Index_ID,0)))</f>
        <v/>
      </c>
      <c r="N95" s="13">
        <v>1</v>
      </c>
      <c r="O95" s="26" t="str">
        <f t="shared" si="7"/>
        <v/>
      </c>
      <c r="P95" s="6" t="str">
        <f>IF(ISBLANK(B95),"",INDEX(I5_Index,MATCH(O95,I5_Index_ID,0)))</f>
        <v/>
      </c>
    </row>
    <row r="96" spans="1:16" x14ac:dyDescent="0.25">
      <c r="A96" s="6">
        <v>82</v>
      </c>
      <c r="B96" s="21"/>
      <c r="C96" s="21"/>
      <c r="D96" s="21"/>
      <c r="E96" s="21"/>
      <c r="F96" s="21"/>
      <c r="G96" s="6" t="str">
        <f t="shared" si="8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9"/>
        <v>#VALUE!</v>
      </c>
      <c r="K96" s="13">
        <v>2</v>
      </c>
      <c r="L96" s="26" t="str">
        <f t="shared" si="6"/>
        <v/>
      </c>
      <c r="M96" s="6" t="str">
        <f>IF(ISBLANK(B96),"",INDEX(I7_Index,MATCH(L96,I7_Index_ID,0)))</f>
        <v/>
      </c>
      <c r="N96" s="13">
        <v>2</v>
      </c>
      <c r="O96" s="26" t="str">
        <f t="shared" si="7"/>
        <v/>
      </c>
      <c r="P96" s="6" t="str">
        <f>IF(ISBLANK(B96),"",INDEX(I5_Index,MATCH(O96,I5_Index_ID,0)))</f>
        <v/>
      </c>
    </row>
    <row r="97" spans="1:16" x14ac:dyDescent="0.25">
      <c r="A97" s="6">
        <v>83</v>
      </c>
      <c r="B97" s="21"/>
      <c r="C97" s="21"/>
      <c r="D97" s="21"/>
      <c r="E97" s="21"/>
      <c r="F97" s="21"/>
      <c r="G97" s="6" t="str">
        <f t="shared" si="8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9"/>
        <v>#VALUE!</v>
      </c>
      <c r="K97" s="13">
        <v>3</v>
      </c>
      <c r="L97" s="26" t="str">
        <f t="shared" si="6"/>
        <v/>
      </c>
      <c r="M97" s="6" t="str">
        <f>IF(ISBLANK(B97),"",INDEX(I7_Index,MATCH(L97,I7_Index_ID,0)))</f>
        <v/>
      </c>
      <c r="N97" s="13">
        <v>3</v>
      </c>
      <c r="O97" s="26" t="str">
        <f t="shared" si="7"/>
        <v/>
      </c>
      <c r="P97" s="6" t="str">
        <f>IF(ISBLANK(B97),"",INDEX(I5_Index,MATCH(O97,I5_Index_ID,0)))</f>
        <v/>
      </c>
    </row>
    <row r="98" spans="1:16" x14ac:dyDescent="0.25">
      <c r="A98" s="6">
        <v>84</v>
      </c>
      <c r="B98" s="21"/>
      <c r="C98" s="21"/>
      <c r="D98" s="21"/>
      <c r="E98" s="21"/>
      <c r="F98" s="21"/>
      <c r="G98" s="6" t="str">
        <f t="shared" si="8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9"/>
        <v>#VALUE!</v>
      </c>
      <c r="K98" s="13">
        <v>4</v>
      </c>
      <c r="L98" s="26" t="str">
        <f t="shared" si="6"/>
        <v/>
      </c>
      <c r="M98" s="6" t="str">
        <f>IF(ISBLANK(B98),"",INDEX(I7_Index,MATCH(L98,I7_Index_ID,0)))</f>
        <v/>
      </c>
      <c r="N98" s="13">
        <v>4</v>
      </c>
      <c r="O98" s="26" t="str">
        <f t="shared" si="7"/>
        <v/>
      </c>
      <c r="P98" s="6" t="str">
        <f>IF(ISBLANK(B98),"",INDEX(I5_Index,MATCH(O98,I5_Index_ID,0)))</f>
        <v/>
      </c>
    </row>
    <row r="99" spans="1:16" x14ac:dyDescent="0.25">
      <c r="A99" s="6">
        <v>85</v>
      </c>
      <c r="B99" s="21"/>
      <c r="C99" s="21"/>
      <c r="D99" s="21"/>
      <c r="E99" s="21"/>
      <c r="F99" s="21"/>
      <c r="G99" s="6" t="str">
        <f t="shared" si="8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9"/>
        <v>#VALUE!</v>
      </c>
      <c r="K99" s="13">
        <v>5</v>
      </c>
      <c r="L99" s="26" t="str">
        <f t="shared" si="6"/>
        <v/>
      </c>
      <c r="M99" s="6" t="str">
        <f>IF(ISBLANK(B99),"",INDEX(I7_Index,MATCH(L99,I7_Index_ID,0)))</f>
        <v/>
      </c>
      <c r="N99" s="13">
        <v>5</v>
      </c>
      <c r="O99" s="26" t="str">
        <f t="shared" si="7"/>
        <v/>
      </c>
      <c r="P99" s="6" t="str">
        <f>IF(ISBLANK(B99),"",INDEX(I5_Index,MATCH(O99,I5_Index_ID,0)))</f>
        <v/>
      </c>
    </row>
    <row r="100" spans="1:16" x14ac:dyDescent="0.25">
      <c r="A100" s="6">
        <v>86</v>
      </c>
      <c r="B100" s="21"/>
      <c r="C100" s="21"/>
      <c r="D100" s="21"/>
      <c r="E100" s="21"/>
      <c r="F100" s="21"/>
      <c r="G100" s="6" t="str">
        <f t="shared" si="8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9"/>
        <v>#VALUE!</v>
      </c>
      <c r="K100" s="13">
        <v>6</v>
      </c>
      <c r="L100" s="26" t="str">
        <f t="shared" si="6"/>
        <v/>
      </c>
      <c r="M100" s="6" t="str">
        <f>IF(ISBLANK(B100),"",INDEX(I7_Index,MATCH(L100,I7_Index_ID,0)))</f>
        <v/>
      </c>
      <c r="N100" s="13">
        <v>6</v>
      </c>
      <c r="O100" s="26" t="str">
        <f t="shared" si="7"/>
        <v/>
      </c>
      <c r="P100" s="6" t="str">
        <f>IF(ISBLANK(B100),"",INDEX(I5_Index,MATCH(O100,I5_Index_ID,0)))</f>
        <v/>
      </c>
    </row>
    <row r="101" spans="1:16" x14ac:dyDescent="0.25">
      <c r="A101" s="6">
        <v>87</v>
      </c>
      <c r="B101" s="21"/>
      <c r="C101" s="21"/>
      <c r="D101" s="21"/>
      <c r="E101" s="21"/>
      <c r="F101" s="21"/>
      <c r="G101" s="6" t="str">
        <f t="shared" si="8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9"/>
        <v>#VALUE!</v>
      </c>
      <c r="K101" s="13">
        <v>7</v>
      </c>
      <c r="L101" s="26" t="str">
        <f t="shared" si="6"/>
        <v/>
      </c>
      <c r="M101" s="6" t="str">
        <f>IF(ISBLANK(B101),"",INDEX(I7_Index,MATCH(L101,I7_Index_ID,0)))</f>
        <v/>
      </c>
      <c r="N101" s="13">
        <v>7</v>
      </c>
      <c r="O101" s="26" t="str">
        <f t="shared" si="7"/>
        <v/>
      </c>
      <c r="P101" s="6" t="str">
        <f>IF(ISBLANK(B101),"",INDEX(I5_Index,MATCH(O101,I5_Index_ID,0)))</f>
        <v/>
      </c>
    </row>
    <row r="102" spans="1:16" ht="16.5" thickBot="1" x14ac:dyDescent="0.3">
      <c r="A102" s="8">
        <v>88</v>
      </c>
      <c r="B102" s="22"/>
      <c r="C102" s="22"/>
      <c r="D102" s="22"/>
      <c r="E102" s="22"/>
      <c r="F102" s="22"/>
      <c r="G102" s="8" t="str">
        <f t="shared" si="8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9"/>
        <v>#VALUE!</v>
      </c>
      <c r="K102" s="19">
        <v>8</v>
      </c>
      <c r="L102" s="27" t="str">
        <f t="shared" si="6"/>
        <v/>
      </c>
      <c r="M102" s="8" t="str">
        <f>IF(ISBLANK(B102),"",INDEX(I7_Index,MATCH(L102,I7_Index_ID,0)))</f>
        <v/>
      </c>
      <c r="N102" s="19">
        <v>8</v>
      </c>
      <c r="O102" s="27" t="str">
        <f t="shared" si="7"/>
        <v/>
      </c>
      <c r="P102" s="8" t="str">
        <f>IF(ISBLANK(B102),"",INDEX(I5_Index,MATCH(O102,I5_Index_ID,0)))</f>
        <v/>
      </c>
    </row>
    <row r="103" spans="1:16" x14ac:dyDescent="0.25">
      <c r="A103" s="6">
        <v>89</v>
      </c>
      <c r="B103" s="21"/>
      <c r="C103" s="21"/>
      <c r="D103" s="21"/>
      <c r="E103" s="21"/>
      <c r="F103" s="21"/>
      <c r="G103" s="6" t="str">
        <f t="shared" si="8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9"/>
        <v>#VALUE!</v>
      </c>
      <c r="K103" s="13">
        <v>1</v>
      </c>
      <c r="L103" s="26" t="str">
        <f t="shared" si="6"/>
        <v/>
      </c>
      <c r="M103" s="6" t="str">
        <f>IF(ISBLANK(B103),"",INDEX(I7_Index,MATCH(L103,I7_Index_ID,0)))</f>
        <v/>
      </c>
      <c r="N103" s="13">
        <v>1</v>
      </c>
      <c r="O103" s="26" t="str">
        <f t="shared" si="7"/>
        <v/>
      </c>
      <c r="P103" s="6" t="str">
        <f>IF(ISBLANK(B103),"",INDEX(I5_Index,MATCH(O103,I5_Index_ID,0)))</f>
        <v/>
      </c>
    </row>
    <row r="104" spans="1:16" x14ac:dyDescent="0.25">
      <c r="A104" s="6">
        <v>90</v>
      </c>
      <c r="B104" s="21"/>
      <c r="C104" s="21"/>
      <c r="D104" s="21"/>
      <c r="E104" s="21"/>
      <c r="F104" s="21"/>
      <c r="G104" s="6" t="str">
        <f t="shared" si="8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9"/>
        <v>#VALUE!</v>
      </c>
      <c r="K104" s="13">
        <v>2</v>
      </c>
      <c r="L104" s="26" t="str">
        <f t="shared" si="6"/>
        <v/>
      </c>
      <c r="M104" s="6" t="str">
        <f>IF(ISBLANK(B104),"",INDEX(I7_Index,MATCH(L104,I7_Index_ID,0)))</f>
        <v/>
      </c>
      <c r="N104" s="13">
        <v>2</v>
      </c>
      <c r="O104" s="26" t="str">
        <f t="shared" si="7"/>
        <v/>
      </c>
      <c r="P104" s="6" t="str">
        <f>IF(ISBLANK(B104),"",INDEX(I5_Index,MATCH(O104,I5_Index_ID,0)))</f>
        <v/>
      </c>
    </row>
    <row r="105" spans="1:16" x14ac:dyDescent="0.25">
      <c r="A105" s="6">
        <v>91</v>
      </c>
      <c r="B105" s="21"/>
      <c r="C105" s="21"/>
      <c r="D105" s="21"/>
      <c r="E105" s="21"/>
      <c r="F105" s="21"/>
      <c r="G105" s="6" t="str">
        <f t="shared" si="8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9"/>
        <v>#VALUE!</v>
      </c>
      <c r="K105" s="13">
        <v>3</v>
      </c>
      <c r="L105" s="26" t="str">
        <f t="shared" si="6"/>
        <v/>
      </c>
      <c r="M105" s="6" t="str">
        <f>IF(ISBLANK(B105),"",INDEX(I7_Index,MATCH(L105,I7_Index_ID,0)))</f>
        <v/>
      </c>
      <c r="N105" s="13">
        <v>3</v>
      </c>
      <c r="O105" s="26" t="str">
        <f t="shared" si="7"/>
        <v/>
      </c>
      <c r="P105" s="6" t="str">
        <f>IF(ISBLANK(B105),"",INDEX(I5_Index,MATCH(O105,I5_Index_ID,0)))</f>
        <v/>
      </c>
    </row>
    <row r="106" spans="1:16" x14ac:dyDescent="0.25">
      <c r="A106" s="6">
        <v>92</v>
      </c>
      <c r="B106" s="21"/>
      <c r="C106" s="21"/>
      <c r="D106" s="21"/>
      <c r="E106" s="21"/>
      <c r="F106" s="21"/>
      <c r="G106" s="6" t="str">
        <f t="shared" si="8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9"/>
        <v>#VALUE!</v>
      </c>
      <c r="K106" s="13">
        <v>4</v>
      </c>
      <c r="L106" s="26" t="str">
        <f t="shared" si="6"/>
        <v/>
      </c>
      <c r="M106" s="6" t="str">
        <f>IF(ISBLANK(B106),"",INDEX(I7_Index,MATCH(L106,I7_Index_ID,0)))</f>
        <v/>
      </c>
      <c r="N106" s="13">
        <v>4</v>
      </c>
      <c r="O106" s="26" t="str">
        <f t="shared" si="7"/>
        <v/>
      </c>
      <c r="P106" s="6" t="str">
        <f>IF(ISBLANK(B106),"",INDEX(I5_Index,MATCH(O106,I5_Index_ID,0)))</f>
        <v/>
      </c>
    </row>
    <row r="107" spans="1:16" x14ac:dyDescent="0.25">
      <c r="A107" s="6">
        <v>93</v>
      </c>
      <c r="B107" s="21"/>
      <c r="C107" s="21"/>
      <c r="D107" s="21"/>
      <c r="E107" s="21"/>
      <c r="F107" s="21"/>
      <c r="G107" s="6" t="str">
        <f t="shared" si="8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9"/>
        <v>#VALUE!</v>
      </c>
      <c r="K107" s="13">
        <v>5</v>
      </c>
      <c r="L107" s="26" t="str">
        <f t="shared" si="6"/>
        <v/>
      </c>
      <c r="M107" s="6" t="str">
        <f>IF(ISBLANK(B107),"",INDEX(I7_Index,MATCH(L107,I7_Index_ID,0)))</f>
        <v/>
      </c>
      <c r="N107" s="13">
        <v>5</v>
      </c>
      <c r="O107" s="26" t="str">
        <f t="shared" si="7"/>
        <v/>
      </c>
      <c r="P107" s="6" t="str">
        <f>IF(ISBLANK(B107),"",INDEX(I5_Index,MATCH(O107,I5_Index_ID,0)))</f>
        <v/>
      </c>
    </row>
    <row r="108" spans="1:16" x14ac:dyDescent="0.25">
      <c r="A108" s="6">
        <v>94</v>
      </c>
      <c r="B108" s="21"/>
      <c r="C108" s="21"/>
      <c r="D108" s="21"/>
      <c r="E108" s="21"/>
      <c r="F108" s="21"/>
      <c r="G108" s="6" t="str">
        <f t="shared" si="8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9"/>
        <v>#VALUE!</v>
      </c>
      <c r="K108" s="13">
        <v>6</v>
      </c>
      <c r="L108" s="26" t="str">
        <f t="shared" si="6"/>
        <v/>
      </c>
      <c r="M108" s="6" t="str">
        <f>IF(ISBLANK(B108),"",INDEX(I7_Index,MATCH(L108,I7_Index_ID,0)))</f>
        <v/>
      </c>
      <c r="N108" s="13">
        <v>6</v>
      </c>
      <c r="O108" s="26" t="str">
        <f t="shared" si="7"/>
        <v/>
      </c>
      <c r="P108" s="6" t="str">
        <f>IF(ISBLANK(B108),"",INDEX(I5_Index,MATCH(O108,I5_Index_ID,0)))</f>
        <v/>
      </c>
    </row>
    <row r="109" spans="1:16" x14ac:dyDescent="0.25">
      <c r="A109" s="6">
        <v>95</v>
      </c>
      <c r="B109" s="21"/>
      <c r="C109" s="21"/>
      <c r="D109" s="21"/>
      <c r="E109" s="21"/>
      <c r="F109" s="21"/>
      <c r="G109" s="6" t="str">
        <f t="shared" si="8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9"/>
        <v>#VALUE!</v>
      </c>
      <c r="K109" s="13">
        <v>7</v>
      </c>
      <c r="L109" s="26" t="str">
        <f t="shared" si="6"/>
        <v/>
      </c>
      <c r="M109" s="6" t="str">
        <f>IF(ISBLANK(B109),"",INDEX(I7_Index,MATCH(L109,I7_Index_ID,0)))</f>
        <v/>
      </c>
      <c r="N109" s="13">
        <v>7</v>
      </c>
      <c r="O109" s="26" t="str">
        <f t="shared" si="7"/>
        <v/>
      </c>
      <c r="P109" s="6" t="str">
        <f>IF(ISBLANK(B109),"",INDEX(I5_Index,MATCH(O109,I5_Index_ID,0)))</f>
        <v/>
      </c>
    </row>
    <row r="110" spans="1:16" ht="16.5" thickBot="1" x14ac:dyDescent="0.3">
      <c r="A110" s="8">
        <v>96</v>
      </c>
      <c r="B110" s="22"/>
      <c r="C110" s="22"/>
      <c r="D110" s="22"/>
      <c r="E110" s="22"/>
      <c r="F110" s="22"/>
      <c r="G110" s="8" t="str">
        <f t="shared" si="8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9"/>
        <v>#VALUE!</v>
      </c>
      <c r="K110" s="19">
        <v>8</v>
      </c>
      <c r="L110" s="27" t="str">
        <f t="shared" si="6"/>
        <v/>
      </c>
      <c r="M110" s="8" t="str">
        <f>IF(ISBLANK(B110),"",INDEX(I7_Index,MATCH(L110,I7_Index_ID,0)))</f>
        <v/>
      </c>
      <c r="N110" s="19">
        <v>8</v>
      </c>
      <c r="O110" s="27" t="str">
        <f t="shared" si="7"/>
        <v/>
      </c>
      <c r="P110" s="8" t="str">
        <f>IF(ISBLANK(B110),"",INDEX(I5_Index,MATCH(O110,I5_Index_ID,0)))</f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9525</xdr:colOff>
                    <xdr:row>2</xdr:row>
                    <xdr:rowOff>104775</xdr:rowOff>
                  </from>
                  <to>
                    <xdr:col>4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4" t="s">
        <v>70</v>
      </c>
      <c r="B1" s="3" t="s">
        <v>25</v>
      </c>
      <c r="C1" s="3" t="s">
        <v>99</v>
      </c>
    </row>
    <row r="2" spans="1:3" x14ac:dyDescent="0.25">
      <c r="A2" s="5">
        <v>1</v>
      </c>
      <c r="B2" t="s">
        <v>30</v>
      </c>
      <c r="C2" t="s">
        <v>31</v>
      </c>
    </row>
    <row r="3" spans="1:3" x14ac:dyDescent="0.25">
      <c r="A3" s="5">
        <v>2</v>
      </c>
      <c r="B3" t="s">
        <v>33</v>
      </c>
      <c r="C3" t="s">
        <v>34</v>
      </c>
    </row>
    <row r="4" spans="1:3" x14ac:dyDescent="0.25">
      <c r="A4" s="5">
        <v>3</v>
      </c>
      <c r="B4" t="s">
        <v>35</v>
      </c>
      <c r="C4" t="s">
        <v>36</v>
      </c>
    </row>
    <row r="5" spans="1:3" x14ac:dyDescent="0.25">
      <c r="A5" s="5">
        <v>4</v>
      </c>
      <c r="B5" t="s">
        <v>39</v>
      </c>
      <c r="C5" t="s">
        <v>40</v>
      </c>
    </row>
    <row r="6" spans="1:3" x14ac:dyDescent="0.25">
      <c r="A6" s="5">
        <v>5</v>
      </c>
      <c r="B6" t="s">
        <v>41</v>
      </c>
      <c r="C6" t="s">
        <v>42</v>
      </c>
    </row>
    <row r="7" spans="1:3" x14ac:dyDescent="0.25">
      <c r="A7" s="5">
        <v>6</v>
      </c>
      <c r="B7" t="s">
        <v>55</v>
      </c>
      <c r="C7" t="s">
        <v>56</v>
      </c>
    </row>
    <row r="8" spans="1:3" x14ac:dyDescent="0.25">
      <c r="A8" s="5">
        <v>7</v>
      </c>
      <c r="B8" t="s">
        <v>45</v>
      </c>
      <c r="C8" t="s">
        <v>46</v>
      </c>
    </row>
    <row r="9" spans="1:3" x14ac:dyDescent="0.25">
      <c r="A9" s="5">
        <v>8</v>
      </c>
      <c r="B9" t="s">
        <v>57</v>
      </c>
      <c r="C9" t="s">
        <v>58</v>
      </c>
    </row>
    <row r="10" spans="1:3" x14ac:dyDescent="0.25">
      <c r="A10" s="5">
        <v>9</v>
      </c>
      <c r="B10" t="s">
        <v>47</v>
      </c>
      <c r="C10" t="s">
        <v>48</v>
      </c>
    </row>
    <row r="11" spans="1:3" x14ac:dyDescent="0.25">
      <c r="A11" s="5">
        <v>10</v>
      </c>
      <c r="B11" t="s">
        <v>50</v>
      </c>
      <c r="C11" t="s">
        <v>51</v>
      </c>
    </row>
    <row r="12" spans="1:3" x14ac:dyDescent="0.25">
      <c r="A12" s="5">
        <v>11</v>
      </c>
      <c r="B12" t="s">
        <v>52</v>
      </c>
      <c r="C12" t="s">
        <v>59</v>
      </c>
    </row>
    <row r="13" spans="1:3" x14ac:dyDescent="0.25">
      <c r="A13" s="5">
        <v>12</v>
      </c>
      <c r="B13" t="s">
        <v>54</v>
      </c>
      <c r="C13" t="s">
        <v>60</v>
      </c>
    </row>
    <row r="14" spans="1:3" x14ac:dyDescent="0.25">
      <c r="A14" s="4" t="s">
        <v>0</v>
      </c>
      <c r="B14" s="3" t="s">
        <v>27</v>
      </c>
      <c r="C14" s="3" t="s">
        <v>100</v>
      </c>
    </row>
    <row r="15" spans="1:3" x14ac:dyDescent="0.25">
      <c r="A15" s="5">
        <v>1</v>
      </c>
      <c r="B15" t="s">
        <v>49</v>
      </c>
      <c r="C15" t="s">
        <v>61</v>
      </c>
    </row>
    <row r="16" spans="1:3" x14ac:dyDescent="0.25">
      <c r="A16" s="5">
        <v>2</v>
      </c>
      <c r="B16" t="s">
        <v>53</v>
      </c>
      <c r="C16" t="s">
        <v>62</v>
      </c>
    </row>
    <row r="17" spans="1:3" x14ac:dyDescent="0.25">
      <c r="A17" s="5">
        <v>3</v>
      </c>
      <c r="B17" t="s">
        <v>63</v>
      </c>
      <c r="C17" t="s">
        <v>64</v>
      </c>
    </row>
    <row r="18" spans="1:3" x14ac:dyDescent="0.25">
      <c r="A18" s="5">
        <v>4</v>
      </c>
      <c r="B18" t="s">
        <v>65</v>
      </c>
      <c r="C18" t="s">
        <v>66</v>
      </c>
    </row>
    <row r="19" spans="1:3" x14ac:dyDescent="0.25">
      <c r="A19" s="5">
        <v>5</v>
      </c>
      <c r="B19" t="s">
        <v>67</v>
      </c>
      <c r="C19" t="s">
        <v>68</v>
      </c>
    </row>
    <row r="20" spans="1:3" x14ac:dyDescent="0.25">
      <c r="A20" s="5">
        <v>6</v>
      </c>
      <c r="B20" t="s">
        <v>32</v>
      </c>
      <c r="C20" t="s">
        <v>69</v>
      </c>
    </row>
    <row r="21" spans="1:3" x14ac:dyDescent="0.25">
      <c r="A21" s="5">
        <v>7</v>
      </c>
      <c r="B21" t="s">
        <v>37</v>
      </c>
      <c r="C21" t="s">
        <v>38</v>
      </c>
    </row>
    <row r="22" spans="1:3" x14ac:dyDescent="0.25">
      <c r="A22" s="5">
        <v>8</v>
      </c>
      <c r="B22" t="s">
        <v>43</v>
      </c>
      <c r="C22" t="s">
        <v>44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86</v>
      </c>
      <c r="B1" s="1" t="s">
        <v>94</v>
      </c>
      <c r="C1" s="1" t="s">
        <v>95</v>
      </c>
      <c r="D1" s="1" t="s">
        <v>96</v>
      </c>
      <c r="E1" s="7" t="s">
        <v>98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0"/>
  <sheetViews>
    <sheetView workbookViewId="0">
      <selection activeCell="E20" sqref="E20"/>
    </sheetView>
  </sheetViews>
  <sheetFormatPr defaultColWidth="11" defaultRowHeight="15.75" x14ac:dyDescent="0.25"/>
  <sheetData>
    <row r="1" spans="1:4" s="3" customFormat="1" x14ac:dyDescent="0.25">
      <c r="A1" s="3" t="s">
        <v>81</v>
      </c>
      <c r="B1" s="3" t="s">
        <v>84</v>
      </c>
      <c r="C1" s="3" t="s">
        <v>82</v>
      </c>
      <c r="D1" s="3" t="s">
        <v>119</v>
      </c>
    </row>
    <row r="2" spans="1:4" x14ac:dyDescent="0.25">
      <c r="A2" t="s">
        <v>80</v>
      </c>
      <c r="B2" t="s">
        <v>85</v>
      </c>
      <c r="C2" t="s">
        <v>103</v>
      </c>
      <c r="D2" t="s">
        <v>121</v>
      </c>
    </row>
    <row r="3" spans="1:4" x14ac:dyDescent="0.25">
      <c r="A3" t="s">
        <v>110</v>
      </c>
      <c r="B3" t="s">
        <v>89</v>
      </c>
      <c r="C3" t="s">
        <v>83</v>
      </c>
      <c r="D3" t="s">
        <v>120</v>
      </c>
    </row>
    <row r="4" spans="1:4" x14ac:dyDescent="0.25">
      <c r="A4" t="s">
        <v>111</v>
      </c>
      <c r="B4" t="s">
        <v>90</v>
      </c>
      <c r="C4" t="s">
        <v>104</v>
      </c>
    </row>
    <row r="5" spans="1:4" x14ac:dyDescent="0.25">
      <c r="A5" t="s">
        <v>129</v>
      </c>
      <c r="B5" t="s">
        <v>91</v>
      </c>
      <c r="C5" t="s">
        <v>105</v>
      </c>
    </row>
    <row r="6" spans="1:4" x14ac:dyDescent="0.25">
      <c r="B6" t="s">
        <v>92</v>
      </c>
      <c r="C6" t="s">
        <v>106</v>
      </c>
    </row>
    <row r="7" spans="1:4" x14ac:dyDescent="0.25">
      <c r="B7" t="s">
        <v>93</v>
      </c>
      <c r="C7" t="s">
        <v>107</v>
      </c>
    </row>
    <row r="8" spans="1:4" x14ac:dyDescent="0.25">
      <c r="C8" t="s">
        <v>108</v>
      </c>
    </row>
    <row r="9" spans="1:4" x14ac:dyDescent="0.25">
      <c r="C9" t="s">
        <v>128</v>
      </c>
    </row>
    <row r="10" spans="1:4" x14ac:dyDescent="0.25">
      <c r="C10" t="s">
        <v>109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defaultColWidth="11" defaultRowHeight="15.75" x14ac:dyDescent="0.25"/>
  <cols>
    <col min="1" max="1" width="18" bestFit="1" customWidth="1"/>
    <col min="2" max="2" width="21.125" bestFit="1" customWidth="1"/>
    <col min="3" max="3" width="12.125" bestFit="1" customWidth="1"/>
    <col min="4" max="4" width="11.875" bestFit="1" customWidth="1"/>
    <col min="6" max="6" width="10.375" bestFit="1" customWidth="1"/>
    <col min="8" max="8" width="10.375" bestFit="1" customWidth="1"/>
    <col min="9" max="9" width="13.875" bestFit="1" customWidth="1"/>
    <col min="10" max="10" width="10.375" bestFit="1" customWidth="1"/>
    <col min="14" max="14" width="18.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3</v>
      </c>
      <c r="B3" s="6" t="str">
        <f>IF(ISBLANK('Sample Namen'!L1),"",'Sample Namen'!L1)</f>
        <v/>
      </c>
    </row>
    <row r="4" spans="1:3" x14ac:dyDescent="0.25">
      <c r="A4" t="s">
        <v>4</v>
      </c>
      <c r="B4" t="str">
        <f>IF(ISBLANK('Sample Namen'!L2),"",'Sample Namen'!L2)</f>
        <v/>
      </c>
    </row>
    <row r="5" spans="1:3" x14ac:dyDescent="0.25">
      <c r="A5" t="s">
        <v>5</v>
      </c>
      <c r="B5" s="20" t="str">
        <f>IF(ISBLANK('Sample Namen'!L3),"",'Sample Namen'!L3)</f>
        <v/>
      </c>
      <c r="C5" s="2"/>
    </row>
    <row r="6" spans="1:3" x14ac:dyDescent="0.25">
      <c r="A6" t="s">
        <v>6</v>
      </c>
      <c r="B6" t="s">
        <v>7</v>
      </c>
    </row>
    <row r="7" spans="1:3" x14ac:dyDescent="0.25">
      <c r="A7" t="s">
        <v>8</v>
      </c>
      <c r="B7" t="s">
        <v>9</v>
      </c>
    </row>
    <row r="8" spans="1:3" x14ac:dyDescent="0.25">
      <c r="A8" t="s">
        <v>10</v>
      </c>
      <c r="B8" t="s">
        <v>11</v>
      </c>
    </row>
    <row r="9" spans="1:3" x14ac:dyDescent="0.25">
      <c r="A9" t="s">
        <v>12</v>
      </c>
      <c r="B9" t="str">
        <f>IF(ISBLANK('Sample Namen'!L4),"",'Sample Namen'!L4)</f>
        <v/>
      </c>
    </row>
    <row r="10" spans="1:3" x14ac:dyDescent="0.25">
      <c r="A10" t="s">
        <v>13</v>
      </c>
      <c r="B10" t="s">
        <v>14</v>
      </c>
    </row>
    <row r="11" spans="1:3" x14ac:dyDescent="0.25">
      <c r="A11" t="s">
        <v>113</v>
      </c>
      <c r="B11" s="6" t="str">
        <f>IF(ISBLANK('Sample Namen'!L5),"",'Sample Namen'!L5)</f>
        <v/>
      </c>
    </row>
    <row r="12" spans="1:3" x14ac:dyDescent="0.25">
      <c r="A12" t="s">
        <v>114</v>
      </c>
      <c r="B12" s="6" t="str">
        <f>IF(ISBLANK('Sample Namen'!L6),"",'Sample Namen'!L6)</f>
        <v/>
      </c>
    </row>
    <row r="13" spans="1:3" x14ac:dyDescent="0.25">
      <c r="A13" t="s">
        <v>115</v>
      </c>
      <c r="B13" s="6" t="str">
        <f>IF(ISBLANK('Sample Namen'!L7),"",'Sample Namen'!L7)</f>
        <v/>
      </c>
    </row>
    <row r="14" spans="1:3" x14ac:dyDescent="0.25">
      <c r="A14" t="s">
        <v>116</v>
      </c>
      <c r="B14" t="s">
        <v>117</v>
      </c>
    </row>
    <row r="16" spans="1:3" x14ac:dyDescent="0.25">
      <c r="A16" t="s">
        <v>15</v>
      </c>
    </row>
    <row r="17" spans="1:15" x14ac:dyDescent="0.25">
      <c r="A17">
        <v>151</v>
      </c>
    </row>
    <row r="19" spans="1:15" x14ac:dyDescent="0.25">
      <c r="A19" t="s">
        <v>16</v>
      </c>
    </row>
    <row r="20" spans="1:15" x14ac:dyDescent="0.25">
      <c r="A20" t="s">
        <v>17</v>
      </c>
      <c r="B20">
        <v>0</v>
      </c>
    </row>
    <row r="21" spans="1:15" x14ac:dyDescent="0.25">
      <c r="A21" t="s">
        <v>18</v>
      </c>
      <c r="B21" t="s">
        <v>19</v>
      </c>
    </row>
    <row r="23" spans="1:15" x14ac:dyDescent="0.25">
      <c r="A23" t="s">
        <v>20</v>
      </c>
    </row>
    <row r="24" spans="1:15" x14ac:dyDescent="0.25">
      <c r="A24" t="s">
        <v>21</v>
      </c>
      <c r="B24" t="s">
        <v>22</v>
      </c>
      <c r="C24" t="s">
        <v>23</v>
      </c>
      <c r="D24" t="s">
        <v>24</v>
      </c>
      <c r="E24" t="s">
        <v>25</v>
      </c>
      <c r="F24" t="s">
        <v>26</v>
      </c>
      <c r="G24" t="s">
        <v>27</v>
      </c>
      <c r="H24" t="s">
        <v>28</v>
      </c>
      <c r="I24" t="s">
        <v>29</v>
      </c>
      <c r="J24" t="s">
        <v>12</v>
      </c>
      <c r="K24" t="s">
        <v>74</v>
      </c>
      <c r="L24" t="s">
        <v>76</v>
      </c>
      <c r="M24" t="s">
        <v>75</v>
      </c>
      <c r="N24" t="s">
        <v>102</v>
      </c>
      <c r="O24" t="s">
        <v>118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5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5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5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5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5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5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5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5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5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5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5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5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5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5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5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5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5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5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5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5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5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5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5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5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5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5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5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5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5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5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5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5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5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5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5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5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5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5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5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5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5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5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5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5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5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5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5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5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5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5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5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5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5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5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5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5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5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5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5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5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5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5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5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5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5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5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5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5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5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5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5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5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5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5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5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5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5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5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5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5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5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5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5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5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Operator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2017-06-16T09:25:19Z</dcterms:modified>
</cp:coreProperties>
</file>