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Description">'Virus and Target infos'!#REF!</definedName>
    <definedName name="Genotyp">'Virus and Target infos'!$B$2:$B$8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Operator">'Virus and Target infos'!$D$2:$D$4</definedName>
    <definedName name="Target">'Virus and Target infos'!$C$2:$C$12</definedName>
    <definedName name="Virus">'Virus and Target infos'!$A$2:$A$5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5" i="1" l="1"/>
  <c r="P17" i="1"/>
  <c r="G17" i="1"/>
  <c r="G18" i="1"/>
  <c r="I18" i="1"/>
  <c r="O18" i="1"/>
  <c r="P18" i="1"/>
  <c r="G19" i="1"/>
  <c r="I19" i="1"/>
  <c r="O19" i="1"/>
  <c r="P19" i="1"/>
  <c r="G20" i="1"/>
  <c r="I20" i="1"/>
  <c r="O20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G109" i="1"/>
  <c r="G110" i="1"/>
  <c r="I110" i="1"/>
  <c r="O110" i="1"/>
  <c r="P110" i="1"/>
  <c r="I15" i="1"/>
  <c r="O15" i="1"/>
  <c r="P15" i="1"/>
  <c r="M17" i="1"/>
  <c r="H18" i="1"/>
  <c r="L18" i="1"/>
  <c r="M18" i="1"/>
  <c r="H19" i="1"/>
  <c r="L19" i="1"/>
  <c r="M19" i="1"/>
  <c r="H20" i="1"/>
  <c r="L20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H110" i="1"/>
  <c r="L110" i="1"/>
  <c r="M110" i="1"/>
  <c r="H15" i="1"/>
  <c r="L15" i="1"/>
  <c r="M15" i="1"/>
  <c r="J19" i="1"/>
  <c r="J20" i="1"/>
  <c r="H21" i="1"/>
  <c r="J21" i="1"/>
  <c r="H22" i="1"/>
  <c r="J22" i="1"/>
  <c r="H23" i="1"/>
  <c r="J23" i="1"/>
  <c r="H24" i="1"/>
  <c r="J24" i="1"/>
  <c r="H25" i="1"/>
  <c r="J25" i="1"/>
  <c r="H26" i="1"/>
  <c r="J26" i="1"/>
  <c r="H27" i="1"/>
  <c r="J27" i="1"/>
  <c r="H28" i="1"/>
  <c r="J28" i="1"/>
  <c r="H29" i="1"/>
  <c r="J29" i="1"/>
  <c r="H30" i="1"/>
  <c r="J30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G42" i="1"/>
  <c r="H42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H109" i="1"/>
  <c r="J109" i="1"/>
  <c r="J110" i="1"/>
  <c r="H17" i="1"/>
  <c r="J18" i="1"/>
  <c r="B11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27" i="2"/>
  <c r="I25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B13" i="2"/>
  <c r="B12" i="2"/>
  <c r="H11" i="1"/>
  <c r="I11" i="1"/>
  <c r="J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G11" i="1"/>
  <c r="M11" i="1"/>
  <c r="P11" i="1"/>
  <c r="I17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I109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7" i="1"/>
  <c r="O21" i="1"/>
  <c r="O22" i="1"/>
  <c r="L17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H25" i="2"/>
  <c r="G25" i="2"/>
  <c r="F25" i="2"/>
  <c r="E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26" i="2"/>
  <c r="B26" i="2"/>
  <c r="G16" i="1"/>
  <c r="I16" i="1"/>
  <c r="O16" i="1"/>
  <c r="P16" i="1"/>
  <c r="H26" i="2"/>
  <c r="G26" i="2"/>
  <c r="H16" i="1"/>
  <c r="L16" i="1"/>
  <c r="M16" i="1"/>
  <c r="F26" i="2"/>
  <c r="E26" i="2"/>
  <c r="O26" i="2"/>
  <c r="I26" i="2"/>
  <c r="J16" i="1"/>
  <c r="J17" i="1"/>
</calcChain>
</file>

<file path=xl/sharedStrings.xml><?xml version="1.0" encoding="utf-8"?>
<sst xmlns="http://schemas.openxmlformats.org/spreadsheetml/2006/main" count="147" uniqueCount="134">
  <si>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</si>
  <si>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</si>
  <si>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</si>
  <si>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</si>
  <si>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</si>
  <si>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</si>
  <si>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</si>
  <si>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</si>
  <si>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</si>
  <si>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</si>
  <si>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</si>
  <si>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</si>
  <si>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</si>
  <si>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</si>
  <si>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</si>
  <si>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</si>
  <si>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</si>
  <si>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</si>
  <si>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</si>
  <si>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</si>
  <si>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</si>
  <si>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</si>
  <si>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</si>
  <si>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</si>
  <si>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</si>
  <si>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</si>
  <si>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</si>
  <si>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</si>
  <si>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</si>
  <si>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</si>
  <si>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</si>
  <si>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</si>
  <si>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</si>
  <si>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</si>
  <si>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</si>
  <si>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</si>
  <si>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</si>
  <si>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</si>
  <si>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</si>
  <si>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</si>
  <si>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</si>
  <si>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</si>
  <si>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</si>
  <si>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</si>
  <si>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</si>
  <si>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</si>
  <si>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</si>
  <si>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</si>
  <si>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</si>
  <si>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</si>
  <si>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</si>
  <si>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</si>
  <si>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</si>
  <si>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</si>
  <si>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</si>
  <si>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</si>
  <si>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</si>
  <si>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</si>
  <si>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</si>
  <si>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</si>
  <si>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</si>
  <si>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</si>
  <si>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</si>
  <si>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</si>
  <si>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</si>
  <si>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</si>
  <si>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</si>
  <si>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</si>
  <si>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</si>
  <si>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</si>
  <si>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</si>
  <si>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</si>
  <si>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</si>
  <si>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</si>
  <si>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</si>
  <si>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</si>
  <si>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</si>
  <si>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Genotyp* (nur für HCV)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</si>
  <si>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</si>
  <si>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</si>
  <si>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</si>
  <si>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</si>
  <si>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</si>
  <si>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</si>
  <si>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</si>
  <si>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</si>
  <si>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</si>
  <si>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</si>
  <si>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</si>
  <si>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</si>
  <si>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</si>
  <si>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</si>
  <si>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</si>
  <si>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</si>
  <si>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</si>
  <si>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</si>
  <si>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</si>
  <si>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</si>
  <si>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</si>
  <si>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</si>
  <si>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</si>
  <si>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</si>
  <si>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</si>
  <si>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</si>
  <si>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</si>
  <si>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</si>
  <si>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</si>
  <si>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</si>
  <si>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</si>
  <si>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</si>
  <si>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</si>
  <si>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</si>
  <si>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</si>
  <si>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</si>
  <si>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</si>
  <si>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</si>
  <si>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</si>
  <si>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</si>
  <si>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</si>
  <si>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</si>
  <si>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</si>
  <si>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</si>
  <si>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</si>
  <si>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</si>
  <si>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</si>
  <si>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HSV-1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</si>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</sst>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4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104775</xdr:rowOff>
        </xdr:from>
        <xdr:to>
          <xdr:col>4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12700</xdr:rowOff>
    </xdr:from>
    <xdr:to>
      <xdr:col>24</xdr:col>
      <xdr:colOff>787400</xdr:colOff>
      <xdr:row>11</xdr:row>
      <xdr:rowOff>133350</xdr:rowOff>
    </xdr:to>
    <xdr:sp macro="" textlink="">
      <xdr:nvSpPr>
        <xdr:cNvPr id="4" name="TextBox 3"/>
        <xdr:cNvSpPr txBox="1"/>
      </xdr:nvSpPr>
      <xdr:spPr>
        <a:xfrm>
          <a:off x="10772775" y="412750"/>
          <a:ext cx="6845300" cy="23209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02.10.2017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nur für Windows: "SampleSheet speichern" Knopf drücken</a:t>
          </a:r>
          <a:endParaRPr lang="en-US" sz="1400"/>
        </a:p>
        <a:p>
          <a:r>
            <a:rPr lang="en-US" sz="1400"/>
            <a:t>-</a:t>
          </a:r>
          <a:r>
            <a:rPr lang="en-US" sz="1400" baseline="0"/>
            <a:t> nur für Mac: das Excel-Blatt "MiSeq SampleSheet" auswählen und speichern als .csv File</a:t>
          </a:r>
          <a:endParaRPr lang="en-US" sz="14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P110"/>
  <sheetViews>
    <sheetView tabSelected="1" workbookViewId="0"/>
  </sheetViews>
  <sheetFormatPr defaultColWidth="10.875" defaultRowHeight="15.75" x14ac:dyDescent="0.25"/>
  <cols>
    <col min="1" max="1" width="3.5" style="12" bestFit="1" customWidth="1"/>
    <col min="2" max="2" width="28.625" style="12" customWidth="1"/>
    <col min="3" max="3" width="10.125" style="12" customWidth="1"/>
    <col min="4" max="4" width="11.625" style="12" customWidth="1"/>
    <col min="5" max="5" width="11.5" style="12" customWidth="1"/>
    <col min="6" max="6" width="26.5" style="12" customWidth="1"/>
    <col min="7" max="10" width="10.875" style="12" hidden="1" customWidth="1"/>
    <col min="11" max="11" width="3.125" style="13" bestFit="1" customWidth="1"/>
    <col min="12" max="12" width="17.875" style="12" customWidth="1"/>
    <col min="13" max="13" width="10.875" style="6" hidden="1" customWidth="1"/>
    <col min="14" max="14" width="3.125" style="13" bestFit="1" customWidth="1"/>
    <col min="15" max="15" width="17.875" style="12" customWidth="1"/>
    <col min="16" max="16" width="10.875" style="6" hidden="1" customWidth="1"/>
    <col min="17" max="16384" width="10.875" style="12"/>
  </cols>
  <sheetData>
    <row r="1" spans="1:16" x14ac:dyDescent="0.25">
      <c r="F1" s="13" t="s">
        <v>97</v>
      </c>
      <c r="G1" s="6"/>
      <c r="H1" s="6"/>
      <c r="I1" s="6"/>
      <c r="J1" s="6"/>
      <c r="L1" s="21"/>
    </row>
    <row r="2" spans="1:16" x14ac:dyDescent="0.25">
      <c r="F2" s="13" t="s">
        <v>69</v>
      </c>
      <c r="G2" s="6"/>
      <c r="H2" s="6"/>
      <c r="I2" s="6"/>
      <c r="J2" s="6"/>
      <c r="L2" s="21"/>
    </row>
    <row r="3" spans="1:16" x14ac:dyDescent="0.25">
      <c r="F3" s="13" t="s">
        <v>119</v>
      </c>
      <c r="G3" s="6"/>
      <c r="H3" s="6"/>
      <c r="I3" s="6"/>
      <c r="J3" s="6"/>
      <c r="L3" s="24"/>
    </row>
    <row r="4" spans="1:16" x14ac:dyDescent="0.25">
      <c r="F4" s="13" t="s">
        <v>120</v>
      </c>
      <c r="G4" s="6"/>
      <c r="H4" s="6"/>
      <c r="I4" s="6"/>
      <c r="J4" s="6"/>
      <c r="L4" s="21"/>
    </row>
    <row r="5" spans="1:16" x14ac:dyDescent="0.25">
      <c r="F5" s="13" t="s">
        <v>108</v>
      </c>
      <c r="G5" s="6"/>
      <c r="H5" s="6"/>
      <c r="I5" s="6"/>
      <c r="J5" s="6"/>
      <c r="L5" s="21"/>
    </row>
    <row r="6" spans="1:16" ht="31.5" x14ac:dyDescent="0.25">
      <c r="F6" s="14" t="s">
        <v>122</v>
      </c>
      <c r="G6" s="6"/>
      <c r="H6" s="6"/>
      <c r="I6" s="6"/>
      <c r="J6" s="6"/>
      <c r="L6" s="21"/>
    </row>
    <row r="7" spans="1:16" ht="31.5" x14ac:dyDescent="0.25">
      <c r="F7" s="14" t="s">
        <v>123</v>
      </c>
      <c r="G7" s="6"/>
      <c r="H7" s="6"/>
      <c r="I7" s="6"/>
      <c r="J7" s="6"/>
      <c r="L7" s="21"/>
    </row>
    <row r="8" spans="1:16" x14ac:dyDescent="0.25">
      <c r="F8" s="13" t="s">
        <v>121</v>
      </c>
      <c r="G8" s="6"/>
      <c r="H8" s="6"/>
      <c r="I8" s="6"/>
      <c r="J8" s="6"/>
      <c r="L8" s="23"/>
    </row>
    <row r="9" spans="1:16" x14ac:dyDescent="0.25">
      <c r="G9" s="6"/>
      <c r="H9" s="6"/>
      <c r="I9" s="6"/>
      <c r="J9" s="6"/>
    </row>
    <row r="10" spans="1:16" x14ac:dyDescent="0.25">
      <c r="G10" s="9" t="s">
        <v>94</v>
      </c>
      <c r="H10" s="10" t="s">
        <v>90</v>
      </c>
      <c r="I10" s="10" t="s">
        <v>91</v>
      </c>
      <c r="J10" s="10" t="s">
        <v>93</v>
      </c>
      <c r="L10" s="13" t="s">
        <v>23</v>
      </c>
      <c r="M10" s="25"/>
      <c r="O10" s="13" t="s">
        <v>25</v>
      </c>
    </row>
    <row r="11" spans="1:16" x14ac:dyDescent="0.25">
      <c r="E11" s="15"/>
      <c r="F11" s="15" t="s">
        <v>70</v>
      </c>
      <c r="G11" s="10">
        <f>SUM('indices order'!E2:E97)</f>
        <v>0</v>
      </c>
      <c r="H11" s="10" t="str">
        <f>IF(L11=indices!B2,indices!A2,IF(L11=indices!B3,indices!A3,IF(L11=indices!B4,indices!A4,IF(L11=indices!B5,indices!A5,IF(L11=indices!B6,indices!A6,IF(L11=indices!B7,indices!A7,IF(L11=indices!B8,indices!A8,IF(L11=indices!B9,indices!A9,IF(L11=indices!B10,indices!A10,IF(L11=indices!B11,indices!A11,IF(L11=indices!B12,indices!A12,IF(L11=indices!B13,indices!A13,""))))))))))))</f>
        <v/>
      </c>
      <c r="I11" s="10" t="str">
        <f>IF(O11=indices!B15,indices!A15,IF(O11=indices!B16,indices!A16,IF(O11=indices!B17,indices!A17,IF(O11=indices!B18,indices!A18,IF(O11=indices!B19,indices!A19,IF(O11=indices!B20,indices!A20,IF(O11=indices!B21,indices!A21,IF(O11=indices!B22,indices!A22,""))))))))</f>
        <v/>
      </c>
      <c r="J11" s="10" t="str">
        <f>H11&amp;";"&amp;I11</f>
        <v>;</v>
      </c>
      <c r="L11" s="21"/>
      <c r="M11" s="6" t="str">
        <f>IF(ISBLANK(L11),"",INDEX(I7_Index,H11))</f>
        <v/>
      </c>
      <c r="O11" s="21"/>
      <c r="P11" s="6" t="str">
        <f>IF(ISBLANK(O11),"",INDEX(I5_Index,I11))</f>
        <v/>
      </c>
    </row>
    <row r="12" spans="1:16" x14ac:dyDescent="0.25">
      <c r="G12" s="10"/>
      <c r="H12" s="10"/>
      <c r="I12" s="10"/>
      <c r="J12" s="10"/>
    </row>
    <row r="13" spans="1:16" x14ac:dyDescent="0.25">
      <c r="G13" s="10"/>
      <c r="H13" s="10"/>
      <c r="I13" s="10"/>
      <c r="J13" s="10"/>
    </row>
    <row r="14" spans="1:16" ht="38.1" customHeight="1" thickBot="1" x14ac:dyDescent="0.3">
      <c r="A14" s="16" t="s">
        <v>84</v>
      </c>
      <c r="B14" s="17" t="s">
        <v>71</v>
      </c>
      <c r="C14" s="17" t="s">
        <v>75</v>
      </c>
      <c r="D14" s="18" t="s">
        <v>77</v>
      </c>
      <c r="E14" s="17" t="s">
        <v>76</v>
      </c>
      <c r="F14" s="18" t="s">
        <v>118</v>
      </c>
      <c r="G14" s="11"/>
      <c r="H14" s="11" t="s">
        <v>90</v>
      </c>
      <c r="I14" s="11" t="s">
        <v>91</v>
      </c>
      <c r="J14" s="11"/>
      <c r="K14" s="19"/>
      <c r="L14" s="18" t="s">
        <v>128</v>
      </c>
      <c r="M14" s="8" t="s">
        <v>95</v>
      </c>
      <c r="N14" s="19"/>
      <c r="O14" s="18" t="s">
        <v>129</v>
      </c>
      <c r="P14" s="8" t="s">
        <v>96</v>
      </c>
    </row>
    <row r="15" spans="1:16" x14ac:dyDescent="0.25">
      <c r="A15" s="6">
        <v>1</v>
      </c>
      <c r="B15" s="21"/>
      <c r="C15" s="21"/>
      <c r="D15" s="21"/>
      <c r="E15" s="21"/>
      <c r="F15" s="21"/>
      <c r="G15" s="6" t="str">
        <f>IF(ISBLANK(B15),"",IF(G11+1&gt;96,G11+1-96,G11+1))</f>
        <v/>
      </c>
      <c r="H15" s="6" t="str">
        <f>IF(ISBLANK(B15),"",INDEX('indices order'!B$2:B$97,G15))</f>
        <v/>
      </c>
      <c r="I15" s="6" t="str">
        <f>IF(ISBLANK(B15),"",INDEX('indices order'!C$2:C$97,G15))</f>
        <v/>
      </c>
      <c r="J15" s="6">
        <v>1</v>
      </c>
      <c r="K15" s="13">
        <v>1</v>
      </c>
      <c r="L15" s="26" t="str">
        <f t="shared" ref="L15:L46" si="0">IF(ISBLANK(B15),"",INDEX(I7_Index_ID,H15))</f>
        <v/>
      </c>
      <c r="M15" s="6" t="str">
        <f t="shared" ref="M15:M46" si="1">IF(ISBLANK(B15),"",INDEX(I7_Index,MATCH(L15,I7_Index_ID,0)))</f>
        <v/>
      </c>
      <c r="N15" s="13">
        <v>1</v>
      </c>
      <c r="O15" s="26" t="str">
        <f t="shared" ref="O15:O46" si="2">IF(ISBLANK(B15),"",INDEX(I5_Index_ID,I15))</f>
        <v/>
      </c>
      <c r="P15" s="6" t="str">
        <f t="shared" ref="P15:P46" si="3">IF(ISBLANK(B15),"",INDEX(I5_Index,MATCH(O15,I5_Index_ID,0)))</f>
        <v/>
      </c>
    </row>
    <row r="16" spans="1:16" x14ac:dyDescent="0.25">
      <c r="A16" s="6">
        <v>2</v>
      </c>
      <c r="B16" s="28"/>
      <c r="C16" s="21"/>
      <c r="D16" s="21"/>
      <c r="E16" s="21"/>
      <c r="F16" s="21"/>
      <c r="G16" s="6" t="str">
        <f>IF(ISBLANK(B16),"",IF(G15+1&gt;96,G15+1-96,G15+1))</f>
        <v/>
      </c>
      <c r="H16" s="6" t="str">
        <f>IF(ISBLANK(B16),"",INDEX('indices order'!B$2:B$97,G16))</f>
        <v/>
      </c>
      <c r="I16" s="6" t="str">
        <f>IF(ISBLANK(B16),"",INDEX('indices order'!C$2:C$97,G16))</f>
        <v/>
      </c>
      <c r="J16" s="6" t="e">
        <f>H16-H15</f>
        <v>#VALUE!</v>
      </c>
      <c r="K16" s="13">
        <v>2</v>
      </c>
      <c r="L16" s="26" t="str">
        <f t="shared" si="0"/>
        <v/>
      </c>
      <c r="M16" s="6" t="str">
        <f t="shared" si="1"/>
        <v/>
      </c>
      <c r="N16" s="13">
        <v>2</v>
      </c>
      <c r="O16" s="26" t="str">
        <f t="shared" si="2"/>
        <v/>
      </c>
      <c r="P16" s="6" t="str">
        <f t="shared" si="3"/>
        <v/>
      </c>
    </row>
    <row r="17" spans="1:16" x14ac:dyDescent="0.25">
      <c r="A17" s="6">
        <v>3</v>
      </c>
      <c r="B17" s="21"/>
      <c r="C17" s="21"/>
      <c r="D17" s="21"/>
      <c r="E17" s="21"/>
      <c r="F17" s="21"/>
      <c r="G17" s="6" t="str">
        <f t="shared" ref="G17:G80" si="4">IF(ISBLANK(B17),"",IF(G16+1&gt;96,G16+1-96,G16+1))</f>
        <v/>
      </c>
      <c r="H17" s="6" t="str">
        <f>IF(ISBLANK(B17),"",INDEX('indices order'!B$2:B$97,G17))</f>
        <v/>
      </c>
      <c r="I17" s="6" t="str">
        <f>IF(ISBLANK(B17),"",INDEX('indices order'!C$2:C$97,G17))</f>
        <v/>
      </c>
      <c r="J17" s="6" t="e">
        <f t="shared" ref="J17:J80" si="5">H17-H16</f>
        <v>#VALUE!</v>
      </c>
      <c r="K17" s="13">
        <v>3</v>
      </c>
      <c r="L17" s="26" t="str">
        <f t="shared" si="0"/>
        <v/>
      </c>
      <c r="M17" s="6" t="str">
        <f t="shared" si="1"/>
        <v/>
      </c>
      <c r="N17" s="13">
        <v>3</v>
      </c>
      <c r="O17" s="26" t="str">
        <f t="shared" si="2"/>
        <v/>
      </c>
      <c r="P17" s="6" t="str">
        <f t="shared" si="3"/>
        <v/>
      </c>
    </row>
    <row r="18" spans="1:16" x14ac:dyDescent="0.25">
      <c r="A18" s="6">
        <v>4</v>
      </c>
      <c r="B18" s="21"/>
      <c r="C18" s="21"/>
      <c r="D18" s="21"/>
      <c r="E18" s="21"/>
      <c r="F18" s="21"/>
      <c r="G18" s="6" t="str">
        <f t="shared" si="4"/>
        <v/>
      </c>
      <c r="H18" s="6" t="str">
        <f>IF(ISBLANK(B18),"",INDEX('indices order'!B$2:B$97,G18))</f>
        <v/>
      </c>
      <c r="I18" s="6" t="str">
        <f>IF(ISBLANK(B18),"",INDEX('indices order'!C$2:C$97,G18))</f>
        <v/>
      </c>
      <c r="J18" s="6" t="e">
        <f t="shared" si="5"/>
        <v>#VALUE!</v>
      </c>
      <c r="K18" s="13">
        <v>4</v>
      </c>
      <c r="L18" s="26" t="str">
        <f t="shared" si="0"/>
        <v/>
      </c>
      <c r="M18" s="6" t="str">
        <f t="shared" si="1"/>
        <v/>
      </c>
      <c r="N18" s="13">
        <v>4</v>
      </c>
      <c r="O18" s="26" t="str">
        <f t="shared" si="2"/>
        <v/>
      </c>
      <c r="P18" s="6" t="str">
        <f t="shared" si="3"/>
        <v/>
      </c>
    </row>
    <row r="19" spans="1:16" x14ac:dyDescent="0.25">
      <c r="A19" s="6">
        <v>5</v>
      </c>
      <c r="B19" s="21"/>
      <c r="C19" s="21"/>
      <c r="D19" s="21"/>
      <c r="E19" s="21"/>
      <c r="F19" s="21"/>
      <c r="G19" s="6" t="str">
        <f t="shared" si="4"/>
        <v/>
      </c>
      <c r="H19" s="6" t="str">
        <f>IF(ISBLANK(B19),"",INDEX('indices order'!B$2:B$97,G19))</f>
        <v/>
      </c>
      <c r="I19" s="6" t="str">
        <f>IF(ISBLANK(B19),"",INDEX('indices order'!C$2:C$97,G19))</f>
        <v/>
      </c>
      <c r="J19" s="6" t="e">
        <f t="shared" si="5"/>
        <v>#VALUE!</v>
      </c>
      <c r="K19" s="13">
        <v>5</v>
      </c>
      <c r="L19" s="26" t="str">
        <f t="shared" si="0"/>
        <v/>
      </c>
      <c r="M19" s="6" t="str">
        <f t="shared" si="1"/>
        <v/>
      </c>
      <c r="N19" s="13">
        <v>5</v>
      </c>
      <c r="O19" s="26" t="str">
        <f t="shared" si="2"/>
        <v/>
      </c>
      <c r="P19" s="6" t="str">
        <f t="shared" si="3"/>
        <v/>
      </c>
    </row>
    <row r="20" spans="1:16" x14ac:dyDescent="0.25">
      <c r="A20" s="6">
        <v>6</v>
      </c>
      <c r="B20" s="21"/>
      <c r="C20" s="21"/>
      <c r="D20" s="21"/>
      <c r="E20" s="21"/>
      <c r="F20" s="21"/>
      <c r="G20" s="6" t="str">
        <f t="shared" si="4"/>
        <v/>
      </c>
      <c r="H20" s="6" t="str">
        <f>IF(ISBLANK(B20),"",INDEX('indices order'!B$2:B$97,G20))</f>
        <v/>
      </c>
      <c r="I20" s="6" t="str">
        <f>IF(ISBLANK(B20),"",INDEX('indices order'!C$2:C$97,G20))</f>
        <v/>
      </c>
      <c r="J20" s="6" t="e">
        <f t="shared" si="5"/>
        <v>#VALUE!</v>
      </c>
      <c r="K20" s="13">
        <v>6</v>
      </c>
      <c r="L20" s="26" t="str">
        <f t="shared" si="0"/>
        <v/>
      </c>
      <c r="M20" s="6" t="str">
        <f t="shared" si="1"/>
        <v/>
      </c>
      <c r="N20" s="13">
        <v>6</v>
      </c>
      <c r="O20" s="26" t="str">
        <f t="shared" si="2"/>
        <v/>
      </c>
      <c r="P20" s="6" t="str">
        <f t="shared" si="3"/>
        <v/>
      </c>
    </row>
    <row r="21" spans="1:16" x14ac:dyDescent="0.25">
      <c r="A21" s="6">
        <v>7</v>
      </c>
      <c r="B21" s="21"/>
      <c r="C21" s="21"/>
      <c r="D21" s="21"/>
      <c r="E21" s="21"/>
      <c r="F21" s="21"/>
      <c r="G21" s="6" t="str">
        <f t="shared" si="4"/>
        <v/>
      </c>
      <c r="H21" s="6" t="str">
        <f>IF(ISBLANK(B21),"",INDEX('indices order'!B$2:B$97,G21))</f>
        <v/>
      </c>
      <c r="I21" s="6" t="str">
        <f>IF(ISBLANK(B21),"",INDEX('indices order'!C$2:C$97,G21))</f>
        <v/>
      </c>
      <c r="J21" s="6" t="e">
        <f t="shared" si="5"/>
        <v>#VALUE!</v>
      </c>
      <c r="K21" s="13">
        <v>7</v>
      </c>
      <c r="L21" s="26" t="str">
        <f t="shared" si="0"/>
        <v/>
      </c>
      <c r="M21" s="6" t="str">
        <f t="shared" si="1"/>
        <v/>
      </c>
      <c r="N21" s="13">
        <v>7</v>
      </c>
      <c r="O21" s="26" t="str">
        <f t="shared" si="2"/>
        <v/>
      </c>
      <c r="P21" s="6" t="str">
        <f t="shared" si="3"/>
        <v/>
      </c>
    </row>
    <row r="22" spans="1:16" ht="16.5" thickBot="1" x14ac:dyDescent="0.3">
      <c r="A22" s="8">
        <v>8</v>
      </c>
      <c r="B22" s="22"/>
      <c r="C22" s="22"/>
      <c r="D22" s="22"/>
      <c r="E22" s="22"/>
      <c r="F22" s="22"/>
      <c r="G22" s="8" t="str">
        <f t="shared" si="4"/>
        <v/>
      </c>
      <c r="H22" s="8" t="str">
        <f>IF(ISBLANK(B22),"",INDEX('indices order'!B$2:B$97,G22))</f>
        <v/>
      </c>
      <c r="I22" s="8" t="str">
        <f>IF(ISBLANK(B22),"",INDEX('indices order'!C$2:C$97,G22))</f>
        <v/>
      </c>
      <c r="J22" s="8" t="e">
        <f t="shared" si="5"/>
        <v>#VALUE!</v>
      </c>
      <c r="K22" s="19">
        <v>8</v>
      </c>
      <c r="L22" s="27" t="str">
        <f t="shared" si="0"/>
        <v/>
      </c>
      <c r="M22" s="8" t="str">
        <f t="shared" si="1"/>
        <v/>
      </c>
      <c r="N22" s="19">
        <v>8</v>
      </c>
      <c r="O22" s="27" t="str">
        <f t="shared" si="2"/>
        <v/>
      </c>
      <c r="P22" s="8" t="str">
        <f t="shared" si="3"/>
        <v/>
      </c>
    </row>
    <row r="23" spans="1:16" x14ac:dyDescent="0.25">
      <c r="A23" s="6">
        <v>9</v>
      </c>
      <c r="B23" s="21"/>
      <c r="C23" s="21"/>
      <c r="D23" s="21"/>
      <c r="E23" s="21"/>
      <c r="F23" s="21"/>
      <c r="G23" s="6" t="str">
        <f t="shared" si="4"/>
        <v/>
      </c>
      <c r="H23" s="6" t="str">
        <f>IF(ISBLANK(B23),"",INDEX('indices order'!B$2:B$97,G23))</f>
        <v/>
      </c>
      <c r="I23" s="6" t="str">
        <f>IF(ISBLANK(B23),"",INDEX('indices order'!C$2:C$97,G23))</f>
        <v/>
      </c>
      <c r="J23" s="6" t="e">
        <f t="shared" si="5"/>
        <v>#VALUE!</v>
      </c>
      <c r="K23" s="13">
        <v>1</v>
      </c>
      <c r="L23" s="26" t="str">
        <f t="shared" si="0"/>
        <v/>
      </c>
      <c r="M23" s="6" t="str">
        <f t="shared" si="1"/>
        <v/>
      </c>
      <c r="N23" s="13">
        <v>1</v>
      </c>
      <c r="O23" s="26" t="str">
        <f t="shared" si="2"/>
        <v/>
      </c>
      <c r="P23" s="6" t="str">
        <f t="shared" si="3"/>
        <v/>
      </c>
    </row>
    <row r="24" spans="1:16" x14ac:dyDescent="0.25">
      <c r="A24" s="6">
        <v>10</v>
      </c>
      <c r="B24" s="21"/>
      <c r="C24" s="21"/>
      <c r="D24" s="21"/>
      <c r="E24" s="21"/>
      <c r="F24" s="21"/>
      <c r="G24" s="6" t="str">
        <f t="shared" si="4"/>
        <v/>
      </c>
      <c r="H24" s="6" t="str">
        <f>IF(ISBLANK(B24),"",INDEX('indices order'!B$2:B$97,G24))</f>
        <v/>
      </c>
      <c r="I24" s="6" t="str">
        <f>IF(ISBLANK(B24),"",INDEX('indices order'!C$2:C$97,G24))</f>
        <v/>
      </c>
      <c r="J24" s="6" t="e">
        <f t="shared" si="5"/>
        <v>#VALUE!</v>
      </c>
      <c r="K24" s="13">
        <v>2</v>
      </c>
      <c r="L24" s="26" t="str">
        <f t="shared" si="0"/>
        <v/>
      </c>
      <c r="M24" s="6" t="str">
        <f t="shared" si="1"/>
        <v/>
      </c>
      <c r="N24" s="13">
        <v>2</v>
      </c>
      <c r="O24" s="26" t="str">
        <f t="shared" si="2"/>
        <v/>
      </c>
      <c r="P24" s="6" t="str">
        <f t="shared" si="3"/>
        <v/>
      </c>
    </row>
    <row r="25" spans="1:16" x14ac:dyDescent="0.25">
      <c r="A25" s="6">
        <v>11</v>
      </c>
      <c r="B25" s="21"/>
      <c r="C25" s="21"/>
      <c r="D25" s="21"/>
      <c r="E25" s="21"/>
      <c r="F25" s="21"/>
      <c r="G25" s="6" t="str">
        <f t="shared" si="4"/>
        <v/>
      </c>
      <c r="H25" s="6" t="str">
        <f>IF(ISBLANK(B25),"",INDEX('indices order'!B$2:B$97,G25))</f>
        <v/>
      </c>
      <c r="I25" s="6" t="str">
        <f>IF(ISBLANK(B25),"",INDEX('indices order'!C$2:C$97,G25))</f>
        <v/>
      </c>
      <c r="J25" s="6" t="e">
        <f t="shared" si="5"/>
        <v>#VALUE!</v>
      </c>
      <c r="K25" s="13">
        <v>3</v>
      </c>
      <c r="L25" s="26" t="str">
        <f t="shared" si="0"/>
        <v/>
      </c>
      <c r="M25" s="6" t="str">
        <f t="shared" si="1"/>
        <v/>
      </c>
      <c r="N25" s="13">
        <v>3</v>
      </c>
      <c r="O25" s="26" t="str">
        <f t="shared" si="2"/>
        <v/>
      </c>
      <c r="P25" s="6" t="str">
        <f t="shared" si="3"/>
        <v/>
      </c>
    </row>
    <row r="26" spans="1:16" x14ac:dyDescent="0.25">
      <c r="A26" s="6">
        <v>12</v>
      </c>
      <c r="B26" s="21"/>
      <c r="C26" s="21"/>
      <c r="D26" s="21"/>
      <c r="E26" s="21"/>
      <c r="F26" s="21"/>
      <c r="G26" s="6" t="str">
        <f t="shared" si="4"/>
        <v/>
      </c>
      <c r="H26" s="6" t="str">
        <f>IF(ISBLANK(B26),"",INDEX('indices order'!B$2:B$97,G26))</f>
        <v/>
      </c>
      <c r="I26" s="6" t="str">
        <f>IF(ISBLANK(B26),"",INDEX('indices order'!C$2:C$97,G26))</f>
        <v/>
      </c>
      <c r="J26" s="6" t="e">
        <f t="shared" si="5"/>
        <v>#VALUE!</v>
      </c>
      <c r="K26" s="13">
        <v>4</v>
      </c>
      <c r="L26" s="26" t="str">
        <f t="shared" si="0"/>
        <v/>
      </c>
      <c r="M26" s="6" t="str">
        <f t="shared" si="1"/>
        <v/>
      </c>
      <c r="N26" s="13">
        <v>4</v>
      </c>
      <c r="O26" s="26" t="str">
        <f t="shared" si="2"/>
        <v/>
      </c>
      <c r="P26" s="6" t="str">
        <f t="shared" si="3"/>
        <v/>
      </c>
    </row>
    <row r="27" spans="1:16" x14ac:dyDescent="0.25">
      <c r="A27" s="6">
        <v>13</v>
      </c>
      <c r="B27" s="21"/>
      <c r="C27" s="21"/>
      <c r="D27" s="21"/>
      <c r="E27" s="21"/>
      <c r="F27" s="21"/>
      <c r="G27" s="6" t="str">
        <f t="shared" si="4"/>
        <v/>
      </c>
      <c r="H27" s="6" t="str">
        <f>IF(ISBLANK(B27),"",INDEX('indices order'!B$2:B$97,G27))</f>
        <v/>
      </c>
      <c r="I27" s="6" t="str">
        <f>IF(ISBLANK(B27),"",INDEX('indices order'!C$2:C$97,G27))</f>
        <v/>
      </c>
      <c r="J27" s="6" t="e">
        <f t="shared" si="5"/>
        <v>#VALUE!</v>
      </c>
      <c r="K27" s="13">
        <v>5</v>
      </c>
      <c r="L27" s="26" t="str">
        <f t="shared" si="0"/>
        <v/>
      </c>
      <c r="M27" s="6" t="str">
        <f t="shared" si="1"/>
        <v/>
      </c>
      <c r="N27" s="13">
        <v>5</v>
      </c>
      <c r="O27" s="26" t="str">
        <f t="shared" si="2"/>
        <v/>
      </c>
      <c r="P27" s="6" t="str">
        <f t="shared" si="3"/>
        <v/>
      </c>
    </row>
    <row r="28" spans="1:16" x14ac:dyDescent="0.25">
      <c r="A28" s="6">
        <v>14</v>
      </c>
      <c r="B28" s="21"/>
      <c r="C28" s="21"/>
      <c r="D28" s="21"/>
      <c r="E28" s="21"/>
      <c r="F28" s="21"/>
      <c r="G28" s="6" t="str">
        <f t="shared" si="4"/>
        <v/>
      </c>
      <c r="H28" s="6" t="str">
        <f>IF(ISBLANK(B28),"",INDEX('indices order'!B$2:B$97,G28))</f>
        <v/>
      </c>
      <c r="I28" s="6" t="str">
        <f>IF(ISBLANK(B28),"",INDEX('indices order'!C$2:C$97,G28))</f>
        <v/>
      </c>
      <c r="J28" s="6" t="e">
        <f t="shared" si="5"/>
        <v>#VALUE!</v>
      </c>
      <c r="K28" s="13">
        <v>6</v>
      </c>
      <c r="L28" s="26" t="str">
        <f t="shared" si="0"/>
        <v/>
      </c>
      <c r="M28" s="6" t="str">
        <f t="shared" si="1"/>
        <v/>
      </c>
      <c r="N28" s="13">
        <v>6</v>
      </c>
      <c r="O28" s="26" t="str">
        <f t="shared" si="2"/>
        <v/>
      </c>
      <c r="P28" s="6" t="str">
        <f t="shared" si="3"/>
        <v/>
      </c>
    </row>
    <row r="29" spans="1:16" x14ac:dyDescent="0.25">
      <c r="A29" s="6">
        <v>15</v>
      </c>
      <c r="B29" s="21"/>
      <c r="C29" s="21"/>
      <c r="D29" s="21"/>
      <c r="E29" s="21"/>
      <c r="F29" s="21"/>
      <c r="G29" s="6" t="str">
        <f t="shared" si="4"/>
        <v/>
      </c>
      <c r="H29" s="6" t="str">
        <f>IF(ISBLANK(B29),"",INDEX('indices order'!B$2:B$97,G29))</f>
        <v/>
      </c>
      <c r="I29" s="6" t="str">
        <f>IF(ISBLANK(B29),"",INDEX('indices order'!C$2:C$97,G29))</f>
        <v/>
      </c>
      <c r="J29" s="6" t="e">
        <f t="shared" si="5"/>
        <v>#VALUE!</v>
      </c>
      <c r="K29" s="13">
        <v>7</v>
      </c>
      <c r="L29" s="26" t="str">
        <f t="shared" si="0"/>
        <v/>
      </c>
      <c r="M29" s="6" t="str">
        <f t="shared" si="1"/>
        <v/>
      </c>
      <c r="N29" s="13">
        <v>7</v>
      </c>
      <c r="O29" s="26" t="str">
        <f t="shared" si="2"/>
        <v/>
      </c>
      <c r="P29" s="6" t="str">
        <f t="shared" si="3"/>
        <v/>
      </c>
    </row>
    <row r="30" spans="1:16" ht="16.5" thickBot="1" x14ac:dyDescent="0.3">
      <c r="A30" s="8">
        <v>16</v>
      </c>
      <c r="B30" s="22"/>
      <c r="C30" s="22"/>
      <c r="D30" s="22"/>
      <c r="E30" s="22"/>
      <c r="F30" s="22"/>
      <c r="G30" s="8" t="str">
        <f t="shared" si="4"/>
        <v/>
      </c>
      <c r="H30" s="8" t="str">
        <f>IF(ISBLANK(B30),"",INDEX('indices order'!B$2:B$97,G30))</f>
        <v/>
      </c>
      <c r="I30" s="8" t="str">
        <f>IF(ISBLANK(B30),"",INDEX('indices order'!C$2:C$97,G30))</f>
        <v/>
      </c>
      <c r="J30" s="8" t="e">
        <f t="shared" si="5"/>
        <v>#VALUE!</v>
      </c>
      <c r="K30" s="19">
        <v>8</v>
      </c>
      <c r="L30" s="27" t="str">
        <f t="shared" si="0"/>
        <v/>
      </c>
      <c r="M30" s="8" t="str">
        <f t="shared" si="1"/>
        <v/>
      </c>
      <c r="N30" s="19">
        <v>8</v>
      </c>
      <c r="O30" s="27" t="str">
        <f t="shared" si="2"/>
        <v/>
      </c>
      <c r="P30" s="8" t="str">
        <f t="shared" si="3"/>
        <v/>
      </c>
    </row>
    <row r="31" spans="1:16" x14ac:dyDescent="0.25">
      <c r="A31" s="6">
        <v>17</v>
      </c>
      <c r="B31" s="21"/>
      <c r="C31" s="21"/>
      <c r="D31" s="21"/>
      <c r="E31" s="21"/>
      <c r="F31" s="21"/>
      <c r="G31" s="6" t="str">
        <f t="shared" si="4"/>
        <v/>
      </c>
      <c r="H31" s="6" t="str">
        <f>IF(ISBLANK(B31),"",INDEX('indices order'!B$2:B$97,G31))</f>
        <v/>
      </c>
      <c r="I31" s="6" t="str">
        <f>IF(ISBLANK(B31),"",INDEX('indices order'!C$2:C$97,G31))</f>
        <v/>
      </c>
      <c r="J31" s="6" t="e">
        <f t="shared" si="5"/>
        <v>#VALUE!</v>
      </c>
      <c r="K31" s="13">
        <v>1</v>
      </c>
      <c r="L31" s="26" t="str">
        <f t="shared" si="0"/>
        <v/>
      </c>
      <c r="M31" s="6" t="str">
        <f t="shared" si="1"/>
        <v/>
      </c>
      <c r="N31" s="13">
        <v>1</v>
      </c>
      <c r="O31" s="26" t="str">
        <f t="shared" si="2"/>
        <v/>
      </c>
      <c r="P31" s="6" t="str">
        <f t="shared" si="3"/>
        <v/>
      </c>
    </row>
    <row r="32" spans="1:16" x14ac:dyDescent="0.25">
      <c r="A32" s="6">
        <v>18</v>
      </c>
      <c r="B32" s="21"/>
      <c r="C32" s="21"/>
      <c r="D32" s="21"/>
      <c r="E32" s="21"/>
      <c r="F32" s="21"/>
      <c r="G32" s="6" t="str">
        <f t="shared" si="4"/>
        <v/>
      </c>
      <c r="H32" s="6" t="str">
        <f>IF(ISBLANK(B32),"",INDEX('indices order'!B$2:B$97,G32))</f>
        <v/>
      </c>
      <c r="I32" s="6" t="str">
        <f>IF(ISBLANK(B32),"",INDEX('indices order'!C$2:C$97,G32))</f>
        <v/>
      </c>
      <c r="J32" s="6" t="e">
        <f t="shared" si="5"/>
        <v>#VALUE!</v>
      </c>
      <c r="K32" s="13">
        <v>2</v>
      </c>
      <c r="L32" s="26" t="str">
        <f t="shared" si="0"/>
        <v/>
      </c>
      <c r="M32" s="6" t="str">
        <f t="shared" si="1"/>
        <v/>
      </c>
      <c r="N32" s="13">
        <v>2</v>
      </c>
      <c r="O32" s="26" t="str">
        <f t="shared" si="2"/>
        <v/>
      </c>
      <c r="P32" s="6" t="str">
        <f t="shared" si="3"/>
        <v/>
      </c>
    </row>
    <row r="33" spans="1:16" x14ac:dyDescent="0.25">
      <c r="A33" s="6">
        <v>19</v>
      </c>
      <c r="B33" s="21"/>
      <c r="C33" s="21"/>
      <c r="D33" s="21"/>
      <c r="E33" s="21"/>
      <c r="F33" s="21"/>
      <c r="G33" s="6" t="str">
        <f t="shared" si="4"/>
        <v/>
      </c>
      <c r="H33" s="6" t="str">
        <f>IF(ISBLANK(B33),"",INDEX('indices order'!B$2:B$97,G33))</f>
        <v/>
      </c>
      <c r="I33" s="6" t="str">
        <f>IF(ISBLANK(B33),"",INDEX('indices order'!C$2:C$97,G33))</f>
        <v/>
      </c>
      <c r="J33" s="6" t="e">
        <f t="shared" si="5"/>
        <v>#VALUE!</v>
      </c>
      <c r="K33" s="13">
        <v>3</v>
      </c>
      <c r="L33" s="26" t="str">
        <f t="shared" si="0"/>
        <v/>
      </c>
      <c r="M33" s="6" t="str">
        <f t="shared" si="1"/>
        <v/>
      </c>
      <c r="N33" s="13">
        <v>3</v>
      </c>
      <c r="O33" s="26" t="str">
        <f t="shared" si="2"/>
        <v/>
      </c>
      <c r="P33" s="6" t="str">
        <f t="shared" si="3"/>
        <v/>
      </c>
    </row>
    <row r="34" spans="1:16" x14ac:dyDescent="0.25">
      <c r="A34" s="6">
        <v>20</v>
      </c>
      <c r="B34" s="21"/>
      <c r="C34" s="21"/>
      <c r="D34" s="21"/>
      <c r="E34" s="21"/>
      <c r="F34" s="21"/>
      <c r="G34" s="6" t="str">
        <f t="shared" si="4"/>
        <v/>
      </c>
      <c r="H34" s="6" t="str">
        <f>IF(ISBLANK(B34),"",INDEX('indices order'!B$2:B$97,G34))</f>
        <v/>
      </c>
      <c r="I34" s="6" t="str">
        <f>IF(ISBLANK(B34),"",INDEX('indices order'!C$2:C$97,G34))</f>
        <v/>
      </c>
      <c r="J34" s="6" t="e">
        <f t="shared" si="5"/>
        <v>#VALUE!</v>
      </c>
      <c r="K34" s="13">
        <v>4</v>
      </c>
      <c r="L34" s="26" t="str">
        <f t="shared" si="0"/>
        <v/>
      </c>
      <c r="M34" s="6" t="str">
        <f t="shared" si="1"/>
        <v/>
      </c>
      <c r="N34" s="13">
        <v>4</v>
      </c>
      <c r="O34" s="26" t="str">
        <f t="shared" si="2"/>
        <v/>
      </c>
      <c r="P34" s="6" t="str">
        <f t="shared" si="3"/>
        <v/>
      </c>
    </row>
    <row r="35" spans="1:16" x14ac:dyDescent="0.25">
      <c r="A35" s="6">
        <v>21</v>
      </c>
      <c r="B35" s="21"/>
      <c r="C35" s="21"/>
      <c r="D35" s="21"/>
      <c r="E35" s="21"/>
      <c r="F35" s="21"/>
      <c r="G35" s="6" t="str">
        <f t="shared" si="4"/>
        <v/>
      </c>
      <c r="H35" s="6" t="str">
        <f>IF(ISBLANK(B35),"",INDEX('indices order'!B$2:B$97,G35))</f>
        <v/>
      </c>
      <c r="I35" s="6" t="str">
        <f>IF(ISBLANK(B35),"",INDEX('indices order'!C$2:C$97,G35))</f>
        <v/>
      </c>
      <c r="J35" s="6" t="e">
        <f t="shared" si="5"/>
        <v>#VALUE!</v>
      </c>
      <c r="K35" s="13">
        <v>5</v>
      </c>
      <c r="L35" s="26" t="str">
        <f t="shared" si="0"/>
        <v/>
      </c>
      <c r="M35" s="6" t="str">
        <f t="shared" si="1"/>
        <v/>
      </c>
      <c r="N35" s="13">
        <v>5</v>
      </c>
      <c r="O35" s="26" t="str">
        <f t="shared" si="2"/>
        <v/>
      </c>
      <c r="P35" s="6" t="str">
        <f t="shared" si="3"/>
        <v/>
      </c>
    </row>
    <row r="36" spans="1:16" x14ac:dyDescent="0.25">
      <c r="A36" s="6">
        <v>22</v>
      </c>
      <c r="B36" s="21"/>
      <c r="C36" s="21"/>
      <c r="D36" s="21"/>
      <c r="E36" s="21"/>
      <c r="F36" s="21"/>
      <c r="G36" s="6" t="str">
        <f t="shared" si="4"/>
        <v/>
      </c>
      <c r="H36" s="6" t="str">
        <f>IF(ISBLANK(B36),"",INDEX('indices order'!B$2:B$97,G36))</f>
        <v/>
      </c>
      <c r="I36" s="6" t="str">
        <f>IF(ISBLANK(B36),"",INDEX('indices order'!C$2:C$97,G36))</f>
        <v/>
      </c>
      <c r="J36" s="6" t="e">
        <f t="shared" si="5"/>
        <v>#VALUE!</v>
      </c>
      <c r="K36" s="13">
        <v>6</v>
      </c>
      <c r="L36" s="26" t="str">
        <f t="shared" si="0"/>
        <v/>
      </c>
      <c r="M36" s="6" t="str">
        <f t="shared" si="1"/>
        <v/>
      </c>
      <c r="N36" s="13">
        <v>6</v>
      </c>
      <c r="O36" s="26" t="str">
        <f t="shared" si="2"/>
        <v/>
      </c>
      <c r="P36" s="6" t="str">
        <f t="shared" si="3"/>
        <v/>
      </c>
    </row>
    <row r="37" spans="1:16" x14ac:dyDescent="0.25">
      <c r="A37" s="6">
        <v>23</v>
      </c>
      <c r="B37" s="21"/>
      <c r="C37" s="21"/>
      <c r="D37" s="21"/>
      <c r="E37" s="21"/>
      <c r="F37" s="21"/>
      <c r="G37" s="6" t="str">
        <f t="shared" si="4"/>
        <v/>
      </c>
      <c r="H37" s="6" t="str">
        <f>IF(ISBLANK(B37),"",INDEX('indices order'!B$2:B$97,G37))</f>
        <v/>
      </c>
      <c r="I37" s="6" t="str">
        <f>IF(ISBLANK(B37),"",INDEX('indices order'!C$2:C$97,G37))</f>
        <v/>
      </c>
      <c r="J37" s="6" t="e">
        <f t="shared" si="5"/>
        <v>#VALUE!</v>
      </c>
      <c r="K37" s="13">
        <v>7</v>
      </c>
      <c r="L37" s="26" t="str">
        <f t="shared" si="0"/>
        <v/>
      </c>
      <c r="M37" s="6" t="str">
        <f t="shared" si="1"/>
        <v/>
      </c>
      <c r="N37" s="13">
        <v>7</v>
      </c>
      <c r="O37" s="26" t="str">
        <f t="shared" si="2"/>
        <v/>
      </c>
      <c r="P37" s="6" t="str">
        <f t="shared" si="3"/>
        <v/>
      </c>
    </row>
    <row r="38" spans="1:16" ht="16.5" thickBot="1" x14ac:dyDescent="0.3">
      <c r="A38" s="8">
        <v>24</v>
      </c>
      <c r="B38" s="22"/>
      <c r="C38" s="22"/>
      <c r="D38" s="22"/>
      <c r="E38" s="22"/>
      <c r="F38" s="22"/>
      <c r="G38" s="8" t="str">
        <f t="shared" si="4"/>
        <v/>
      </c>
      <c r="H38" s="8" t="str">
        <f>IF(ISBLANK(B38),"",INDEX('indices order'!B$2:B$97,G38))</f>
        <v/>
      </c>
      <c r="I38" s="8" t="str">
        <f>IF(ISBLANK(B38),"",INDEX('indices order'!C$2:C$97,G38))</f>
        <v/>
      </c>
      <c r="J38" s="8" t="e">
        <f t="shared" si="5"/>
        <v>#VALUE!</v>
      </c>
      <c r="K38" s="19">
        <v>8</v>
      </c>
      <c r="L38" s="27" t="str">
        <f t="shared" si="0"/>
        <v/>
      </c>
      <c r="M38" s="8" t="str">
        <f t="shared" si="1"/>
        <v/>
      </c>
      <c r="N38" s="19">
        <v>8</v>
      </c>
      <c r="O38" s="27" t="str">
        <f t="shared" si="2"/>
        <v/>
      </c>
      <c r="P38" s="8" t="str">
        <f t="shared" si="3"/>
        <v/>
      </c>
    </row>
    <row r="39" spans="1:16" x14ac:dyDescent="0.25">
      <c r="A39" s="6">
        <v>25</v>
      </c>
      <c r="B39" s="21"/>
      <c r="C39" s="21"/>
      <c r="D39" s="21"/>
      <c r="E39" s="21"/>
      <c r="F39" s="21"/>
      <c r="G39" s="6" t="str">
        <f t="shared" si="4"/>
        <v/>
      </c>
      <c r="H39" s="6" t="str">
        <f>IF(ISBLANK(B39),"",INDEX('indices order'!B$2:B$97,G39))</f>
        <v/>
      </c>
      <c r="I39" s="6" t="str">
        <f>IF(ISBLANK(B39),"",INDEX('indices order'!C$2:C$97,G39))</f>
        <v/>
      </c>
      <c r="J39" s="6" t="e">
        <f t="shared" si="5"/>
        <v>#VALUE!</v>
      </c>
      <c r="K39" s="13">
        <v>1</v>
      </c>
      <c r="L39" s="26" t="str">
        <f t="shared" si="0"/>
        <v/>
      </c>
      <c r="M39" s="6" t="str">
        <f t="shared" si="1"/>
        <v/>
      </c>
      <c r="N39" s="13">
        <v>1</v>
      </c>
      <c r="O39" s="26" t="str">
        <f t="shared" si="2"/>
        <v/>
      </c>
      <c r="P39" s="6" t="str">
        <f t="shared" si="3"/>
        <v/>
      </c>
    </row>
    <row r="40" spans="1:16" x14ac:dyDescent="0.25">
      <c r="A40" s="6">
        <v>26</v>
      </c>
      <c r="B40" s="21"/>
      <c r="C40" s="21"/>
      <c r="D40" s="21"/>
      <c r="E40" s="21"/>
      <c r="F40" s="21"/>
      <c r="G40" s="6" t="str">
        <f t="shared" si="4"/>
        <v/>
      </c>
      <c r="H40" s="6" t="str">
        <f>IF(ISBLANK(B40),"",INDEX('indices order'!B$2:B$97,G40))</f>
        <v/>
      </c>
      <c r="I40" s="6" t="str">
        <f>IF(ISBLANK(B40),"",INDEX('indices order'!C$2:C$97,G40))</f>
        <v/>
      </c>
      <c r="J40" s="6" t="e">
        <f t="shared" si="5"/>
        <v>#VALUE!</v>
      </c>
      <c r="K40" s="13">
        <v>2</v>
      </c>
      <c r="L40" s="26" t="str">
        <f t="shared" si="0"/>
        <v/>
      </c>
      <c r="M40" s="6" t="str">
        <f t="shared" si="1"/>
        <v/>
      </c>
      <c r="N40" s="13">
        <v>2</v>
      </c>
      <c r="O40" s="26" t="str">
        <f t="shared" si="2"/>
        <v/>
      </c>
      <c r="P40" s="6" t="str">
        <f t="shared" si="3"/>
        <v/>
      </c>
    </row>
    <row r="41" spans="1:16" x14ac:dyDescent="0.25">
      <c r="A41" s="6">
        <v>27</v>
      </c>
      <c r="B41" s="21"/>
      <c r="C41" s="21"/>
      <c r="D41" s="21"/>
      <c r="E41" s="21"/>
      <c r="F41" s="21"/>
      <c r="G41" s="6" t="str">
        <f t="shared" si="4"/>
        <v/>
      </c>
      <c r="H41" s="6" t="str">
        <f>IF(ISBLANK(B41),"",INDEX('indices order'!B$2:B$97,G41))</f>
        <v/>
      </c>
      <c r="I41" s="6" t="str">
        <f>IF(ISBLANK(B41),"",INDEX('indices order'!C$2:C$97,G41))</f>
        <v/>
      </c>
      <c r="J41" s="6" t="e">
        <f t="shared" si="5"/>
        <v>#VALUE!</v>
      </c>
      <c r="K41" s="13">
        <v>3</v>
      </c>
      <c r="L41" s="26" t="str">
        <f t="shared" si="0"/>
        <v/>
      </c>
      <c r="M41" s="6" t="str">
        <f t="shared" si="1"/>
        <v/>
      </c>
      <c r="N41" s="13">
        <v>3</v>
      </c>
      <c r="O41" s="26" t="str">
        <f t="shared" si="2"/>
        <v/>
      </c>
      <c r="P41" s="6" t="str">
        <f t="shared" si="3"/>
        <v/>
      </c>
    </row>
    <row r="42" spans="1:16" x14ac:dyDescent="0.25">
      <c r="A42" s="6">
        <v>28</v>
      </c>
      <c r="B42" s="21"/>
      <c r="C42" s="21"/>
      <c r="D42" s="21"/>
      <c r="E42" s="21"/>
      <c r="F42" s="21"/>
      <c r="G42" s="6" t="str">
        <f t="shared" si="4"/>
        <v/>
      </c>
      <c r="H42" s="6" t="str">
        <f>IF(ISBLANK(B42),"",INDEX('indices order'!B$2:B$97,G42))</f>
        <v/>
      </c>
      <c r="I42" s="6" t="str">
        <f>IF(ISBLANK(B42),"",INDEX('indices order'!C$2:C$97,G42))</f>
        <v/>
      </c>
      <c r="J42" s="6" t="e">
        <f t="shared" si="5"/>
        <v>#VALUE!</v>
      </c>
      <c r="K42" s="13">
        <v>4</v>
      </c>
      <c r="L42" s="26" t="str">
        <f t="shared" si="0"/>
        <v/>
      </c>
      <c r="M42" s="6" t="str">
        <f t="shared" si="1"/>
        <v/>
      </c>
      <c r="N42" s="13">
        <v>4</v>
      </c>
      <c r="O42" s="26" t="str">
        <f t="shared" si="2"/>
        <v/>
      </c>
      <c r="P42" s="6" t="str">
        <f t="shared" si="3"/>
        <v/>
      </c>
    </row>
    <row r="43" spans="1:16" x14ac:dyDescent="0.25">
      <c r="A43" s="6">
        <v>29</v>
      </c>
      <c r="B43" s="21"/>
      <c r="C43" s="21"/>
      <c r="D43" s="21"/>
      <c r="E43" s="21"/>
      <c r="F43" s="21"/>
      <c r="G43" s="6" t="str">
        <f t="shared" si="4"/>
        <v/>
      </c>
      <c r="H43" s="6" t="str">
        <f>IF(ISBLANK(B43),"",INDEX('indices order'!B$2:B$97,G43))</f>
        <v/>
      </c>
      <c r="I43" s="6" t="str">
        <f>IF(ISBLANK(B43),"",INDEX('indices order'!C$2:C$97,G43))</f>
        <v/>
      </c>
      <c r="J43" s="6" t="e">
        <f t="shared" si="5"/>
        <v>#VALUE!</v>
      </c>
      <c r="K43" s="13">
        <v>5</v>
      </c>
      <c r="L43" s="26" t="str">
        <f t="shared" si="0"/>
        <v/>
      </c>
      <c r="M43" s="6" t="str">
        <f t="shared" si="1"/>
        <v/>
      </c>
      <c r="N43" s="13">
        <v>5</v>
      </c>
      <c r="O43" s="26" t="str">
        <f t="shared" si="2"/>
        <v/>
      </c>
      <c r="P43" s="6" t="str">
        <f t="shared" si="3"/>
        <v/>
      </c>
    </row>
    <row r="44" spans="1:16" x14ac:dyDescent="0.25">
      <c r="A44" s="6">
        <v>30</v>
      </c>
      <c r="B44" s="21"/>
      <c r="C44" s="21"/>
      <c r="D44" s="21"/>
      <c r="E44" s="21"/>
      <c r="F44" s="21"/>
      <c r="G44" s="6" t="str">
        <f t="shared" si="4"/>
        <v/>
      </c>
      <c r="H44" s="6" t="str">
        <f>IF(ISBLANK(B44),"",INDEX('indices order'!B$2:B$97,G44))</f>
        <v/>
      </c>
      <c r="I44" s="6" t="str">
        <f>IF(ISBLANK(B44),"",INDEX('indices order'!C$2:C$97,G44))</f>
        <v/>
      </c>
      <c r="J44" s="6" t="e">
        <f t="shared" si="5"/>
        <v>#VALUE!</v>
      </c>
      <c r="K44" s="13">
        <v>6</v>
      </c>
      <c r="L44" s="26" t="str">
        <f t="shared" si="0"/>
        <v/>
      </c>
      <c r="M44" s="6" t="str">
        <f t="shared" si="1"/>
        <v/>
      </c>
      <c r="N44" s="13">
        <v>6</v>
      </c>
      <c r="O44" s="26" t="str">
        <f t="shared" si="2"/>
        <v/>
      </c>
      <c r="P44" s="6" t="str">
        <f t="shared" si="3"/>
        <v/>
      </c>
    </row>
    <row r="45" spans="1:16" x14ac:dyDescent="0.25">
      <c r="A45" s="6">
        <v>31</v>
      </c>
      <c r="B45" s="21"/>
      <c r="C45" s="21"/>
      <c r="D45" s="21"/>
      <c r="E45" s="21"/>
      <c r="F45" s="21"/>
      <c r="G45" s="6" t="str">
        <f t="shared" si="4"/>
        <v/>
      </c>
      <c r="H45" s="6" t="str">
        <f>IF(ISBLANK(B45),"",INDEX('indices order'!B$2:B$97,G45))</f>
        <v/>
      </c>
      <c r="I45" s="6" t="str">
        <f>IF(ISBLANK(B45),"",INDEX('indices order'!C$2:C$97,G45))</f>
        <v/>
      </c>
      <c r="J45" s="6" t="e">
        <f t="shared" si="5"/>
        <v>#VALUE!</v>
      </c>
      <c r="K45" s="13">
        <v>7</v>
      </c>
      <c r="L45" s="26" t="str">
        <f t="shared" si="0"/>
        <v/>
      </c>
      <c r="M45" s="6" t="str">
        <f t="shared" si="1"/>
        <v/>
      </c>
      <c r="N45" s="13">
        <v>7</v>
      </c>
      <c r="O45" s="26" t="str">
        <f t="shared" si="2"/>
        <v/>
      </c>
      <c r="P45" s="6" t="str">
        <f t="shared" si="3"/>
        <v/>
      </c>
    </row>
    <row r="46" spans="1:16" ht="16.5" thickBot="1" x14ac:dyDescent="0.3">
      <c r="A46" s="8">
        <v>32</v>
      </c>
      <c r="B46" s="22"/>
      <c r="C46" s="22"/>
      <c r="D46" s="22"/>
      <c r="E46" s="22"/>
      <c r="F46" s="22"/>
      <c r="G46" s="8" t="str">
        <f t="shared" si="4"/>
        <v/>
      </c>
      <c r="H46" s="8" t="str">
        <f>IF(ISBLANK(B46),"",INDEX('indices order'!B$2:B$97,G46))</f>
        <v/>
      </c>
      <c r="I46" s="8" t="str">
        <f>IF(ISBLANK(B46),"",INDEX('indices order'!C$2:C$97,G46))</f>
        <v/>
      </c>
      <c r="J46" s="8" t="e">
        <f t="shared" si="5"/>
        <v>#VALUE!</v>
      </c>
      <c r="K46" s="19">
        <v>8</v>
      </c>
      <c r="L46" s="27" t="str">
        <f t="shared" si="0"/>
        <v/>
      </c>
      <c r="M46" s="8" t="str">
        <f t="shared" si="1"/>
        <v/>
      </c>
      <c r="N46" s="19">
        <v>8</v>
      </c>
      <c r="O46" s="27" t="str">
        <f t="shared" si="2"/>
        <v/>
      </c>
      <c r="P46" s="8" t="str">
        <f t="shared" si="3"/>
        <v/>
      </c>
    </row>
    <row r="47" spans="1:16" x14ac:dyDescent="0.25">
      <c r="A47" s="6">
        <v>33</v>
      </c>
      <c r="B47" s="21"/>
      <c r="C47" s="21"/>
      <c r="D47" s="21"/>
      <c r="E47" s="21"/>
      <c r="F47" s="21"/>
      <c r="G47" s="6" t="str">
        <f t="shared" si="4"/>
        <v/>
      </c>
      <c r="H47" s="6" t="str">
        <f>IF(ISBLANK(B47),"",INDEX('indices order'!B$2:B$97,G47))</f>
        <v/>
      </c>
      <c r="I47" s="6" t="str">
        <f>IF(ISBLANK(B47),"",INDEX('indices order'!C$2:C$97,G47))</f>
        <v/>
      </c>
      <c r="J47" s="6" t="e">
        <f t="shared" si="5"/>
        <v>#VALUE!</v>
      </c>
      <c r="K47" s="13">
        <v>1</v>
      </c>
      <c r="L47" s="26" t="str">
        <f t="shared" ref="L47:L78" si="6">IF(ISBLANK(B47),"",INDEX(I7_Index_ID,H47))</f>
        <v/>
      </c>
      <c r="M47" s="6" t="str">
        <f t="shared" ref="M47:M78" si="7">IF(ISBLANK(B47),"",INDEX(I7_Index,MATCH(L47,I7_Index_ID,0)))</f>
        <v/>
      </c>
      <c r="N47" s="13">
        <v>1</v>
      </c>
      <c r="O47" s="26" t="str">
        <f t="shared" ref="O47:O78" si="8">IF(ISBLANK(B47),"",INDEX(I5_Index_ID,I47))</f>
        <v/>
      </c>
      <c r="P47" s="6" t="str">
        <f t="shared" ref="P47:P78" si="9">IF(ISBLANK(B47),"",INDEX(I5_Index,MATCH(O47,I5_Index_ID,0)))</f>
        <v/>
      </c>
    </row>
    <row r="48" spans="1:16" x14ac:dyDescent="0.25">
      <c r="A48" s="6">
        <v>34</v>
      </c>
      <c r="B48" s="21"/>
      <c r="C48" s="21"/>
      <c r="D48" s="21"/>
      <c r="E48" s="21"/>
      <c r="F48" s="21"/>
      <c r="G48" s="6" t="str">
        <f t="shared" si="4"/>
        <v/>
      </c>
      <c r="H48" s="6" t="str">
        <f>IF(ISBLANK(B48),"",INDEX('indices order'!B$2:B$97,G48))</f>
        <v/>
      </c>
      <c r="I48" s="6" t="str">
        <f>IF(ISBLANK(B48),"",INDEX('indices order'!C$2:C$97,G48))</f>
        <v/>
      </c>
      <c r="J48" s="6" t="e">
        <f t="shared" si="5"/>
        <v>#VALUE!</v>
      </c>
      <c r="K48" s="13">
        <v>2</v>
      </c>
      <c r="L48" s="26" t="str">
        <f t="shared" si="6"/>
        <v/>
      </c>
      <c r="M48" s="6" t="str">
        <f t="shared" si="7"/>
        <v/>
      </c>
      <c r="N48" s="13">
        <v>2</v>
      </c>
      <c r="O48" s="26" t="str">
        <f t="shared" si="8"/>
        <v/>
      </c>
      <c r="P48" s="6" t="str">
        <f t="shared" si="9"/>
        <v/>
      </c>
    </row>
    <row r="49" spans="1:16" x14ac:dyDescent="0.25">
      <c r="A49" s="6">
        <v>35</v>
      </c>
      <c r="B49" s="21"/>
      <c r="C49" s="21"/>
      <c r="D49" s="21"/>
      <c r="E49" s="21"/>
      <c r="F49" s="21"/>
      <c r="G49" s="6" t="str">
        <f t="shared" si="4"/>
        <v/>
      </c>
      <c r="H49" s="6" t="str">
        <f>IF(ISBLANK(B49),"",INDEX('indices order'!B$2:B$97,G49))</f>
        <v/>
      </c>
      <c r="I49" s="6" t="str">
        <f>IF(ISBLANK(B49),"",INDEX('indices order'!C$2:C$97,G49))</f>
        <v/>
      </c>
      <c r="J49" s="6" t="e">
        <f t="shared" si="5"/>
        <v>#VALUE!</v>
      </c>
      <c r="K49" s="13">
        <v>3</v>
      </c>
      <c r="L49" s="26" t="str">
        <f t="shared" si="6"/>
        <v/>
      </c>
      <c r="M49" s="6" t="str">
        <f t="shared" si="7"/>
        <v/>
      </c>
      <c r="N49" s="13">
        <v>3</v>
      </c>
      <c r="O49" s="26" t="str">
        <f t="shared" si="8"/>
        <v/>
      </c>
      <c r="P49" s="6" t="str">
        <f t="shared" si="9"/>
        <v/>
      </c>
    </row>
    <row r="50" spans="1:16" x14ac:dyDescent="0.25">
      <c r="A50" s="6">
        <v>36</v>
      </c>
      <c r="B50" s="21"/>
      <c r="C50" s="21"/>
      <c r="D50" s="21"/>
      <c r="E50" s="21"/>
      <c r="F50" s="21"/>
      <c r="G50" s="6" t="str">
        <f t="shared" si="4"/>
        <v/>
      </c>
      <c r="H50" s="6" t="str">
        <f>IF(ISBLANK(B50),"",INDEX('indices order'!B$2:B$97,G50))</f>
        <v/>
      </c>
      <c r="I50" s="6" t="str">
        <f>IF(ISBLANK(B50),"",INDEX('indices order'!C$2:C$97,G50))</f>
        <v/>
      </c>
      <c r="J50" s="6" t="e">
        <f t="shared" si="5"/>
        <v>#VALUE!</v>
      </c>
      <c r="K50" s="13">
        <v>4</v>
      </c>
      <c r="L50" s="26" t="str">
        <f t="shared" si="6"/>
        <v/>
      </c>
      <c r="M50" s="6" t="str">
        <f t="shared" si="7"/>
        <v/>
      </c>
      <c r="N50" s="13">
        <v>4</v>
      </c>
      <c r="O50" s="26" t="str">
        <f t="shared" si="8"/>
        <v/>
      </c>
      <c r="P50" s="6" t="str">
        <f t="shared" si="9"/>
        <v/>
      </c>
    </row>
    <row r="51" spans="1:16" x14ac:dyDescent="0.25">
      <c r="A51" s="6">
        <v>37</v>
      </c>
      <c r="B51" s="21"/>
      <c r="C51" s="21"/>
      <c r="D51" s="21"/>
      <c r="E51" s="21"/>
      <c r="F51" s="21"/>
      <c r="G51" s="6" t="str">
        <f t="shared" si="4"/>
        <v/>
      </c>
      <c r="H51" s="6" t="str">
        <f>IF(ISBLANK(B51),"",INDEX('indices order'!B$2:B$97,G51))</f>
        <v/>
      </c>
      <c r="I51" s="6" t="str">
        <f>IF(ISBLANK(B51),"",INDEX('indices order'!C$2:C$97,G51))</f>
        <v/>
      </c>
      <c r="J51" s="6" t="e">
        <f t="shared" si="5"/>
        <v>#VALUE!</v>
      </c>
      <c r="K51" s="13">
        <v>5</v>
      </c>
      <c r="L51" s="26" t="str">
        <f t="shared" si="6"/>
        <v/>
      </c>
      <c r="M51" s="6" t="str">
        <f t="shared" si="7"/>
        <v/>
      </c>
      <c r="N51" s="13">
        <v>5</v>
      </c>
      <c r="O51" s="26" t="str">
        <f t="shared" si="8"/>
        <v/>
      </c>
      <c r="P51" s="6" t="str">
        <f t="shared" si="9"/>
        <v/>
      </c>
    </row>
    <row r="52" spans="1:16" x14ac:dyDescent="0.25">
      <c r="A52" s="6">
        <v>38</v>
      </c>
      <c r="B52" s="21"/>
      <c r="C52" s="21"/>
      <c r="D52" s="21"/>
      <c r="E52" s="21"/>
      <c r="F52" s="21"/>
      <c r="G52" s="6" t="str">
        <f t="shared" si="4"/>
        <v/>
      </c>
      <c r="H52" s="6" t="str">
        <f>IF(ISBLANK(B52),"",INDEX('indices order'!B$2:B$97,G52))</f>
        <v/>
      </c>
      <c r="I52" s="6" t="str">
        <f>IF(ISBLANK(B52),"",INDEX('indices order'!C$2:C$97,G52))</f>
        <v/>
      </c>
      <c r="J52" s="6" t="e">
        <f t="shared" si="5"/>
        <v>#VALUE!</v>
      </c>
      <c r="K52" s="13">
        <v>6</v>
      </c>
      <c r="L52" s="26" t="str">
        <f t="shared" si="6"/>
        <v/>
      </c>
      <c r="M52" s="6" t="str">
        <f t="shared" si="7"/>
        <v/>
      </c>
      <c r="N52" s="13">
        <v>6</v>
      </c>
      <c r="O52" s="26" t="str">
        <f t="shared" si="8"/>
        <v/>
      </c>
      <c r="P52" s="6" t="str">
        <f t="shared" si="9"/>
        <v/>
      </c>
    </row>
    <row r="53" spans="1:16" x14ac:dyDescent="0.25">
      <c r="A53" s="6">
        <v>39</v>
      </c>
      <c r="B53" s="21"/>
      <c r="C53" s="21"/>
      <c r="D53" s="21"/>
      <c r="E53" s="21"/>
      <c r="F53" s="21"/>
      <c r="G53" s="6" t="str">
        <f t="shared" si="4"/>
        <v/>
      </c>
      <c r="H53" s="6" t="str">
        <f>IF(ISBLANK(B53),"",INDEX('indices order'!B$2:B$97,G53))</f>
        <v/>
      </c>
      <c r="I53" s="6" t="str">
        <f>IF(ISBLANK(B53),"",INDEX('indices order'!C$2:C$97,G53))</f>
        <v/>
      </c>
      <c r="J53" s="6" t="e">
        <f t="shared" si="5"/>
        <v>#VALUE!</v>
      </c>
      <c r="K53" s="13">
        <v>7</v>
      </c>
      <c r="L53" s="26" t="str">
        <f t="shared" si="6"/>
        <v/>
      </c>
      <c r="M53" s="6" t="str">
        <f t="shared" si="7"/>
        <v/>
      </c>
      <c r="N53" s="13">
        <v>7</v>
      </c>
      <c r="O53" s="26" t="str">
        <f t="shared" si="8"/>
        <v/>
      </c>
      <c r="P53" s="6" t="str">
        <f t="shared" si="9"/>
        <v/>
      </c>
    </row>
    <row r="54" spans="1:16" ht="16.5" thickBot="1" x14ac:dyDescent="0.3">
      <c r="A54" s="8">
        <v>40</v>
      </c>
      <c r="B54" s="22"/>
      <c r="C54" s="22"/>
      <c r="D54" s="22"/>
      <c r="E54" s="22"/>
      <c r="F54" s="22"/>
      <c r="G54" s="8" t="str">
        <f t="shared" si="4"/>
        <v/>
      </c>
      <c r="H54" s="8" t="str">
        <f>IF(ISBLANK(B54),"",INDEX('indices order'!B$2:B$97,G54))</f>
        <v/>
      </c>
      <c r="I54" s="8" t="str">
        <f>IF(ISBLANK(B54),"",INDEX('indices order'!C$2:C$97,G54))</f>
        <v/>
      </c>
      <c r="J54" s="8" t="e">
        <f t="shared" si="5"/>
        <v>#VALUE!</v>
      </c>
      <c r="K54" s="19">
        <v>8</v>
      </c>
      <c r="L54" s="27" t="str">
        <f t="shared" si="6"/>
        <v/>
      </c>
      <c r="M54" s="8" t="str">
        <f t="shared" si="7"/>
        <v/>
      </c>
      <c r="N54" s="19">
        <v>8</v>
      </c>
      <c r="O54" s="27" t="str">
        <f t="shared" si="8"/>
        <v/>
      </c>
      <c r="P54" s="8" t="str">
        <f t="shared" si="9"/>
        <v/>
      </c>
    </row>
    <row r="55" spans="1:16" x14ac:dyDescent="0.25">
      <c r="A55" s="6">
        <v>41</v>
      </c>
      <c r="B55" s="21"/>
      <c r="C55" s="21"/>
      <c r="D55" s="21"/>
      <c r="E55" s="21"/>
      <c r="F55" s="21"/>
      <c r="G55" s="6" t="str">
        <f t="shared" si="4"/>
        <v/>
      </c>
      <c r="H55" s="6" t="str">
        <f>IF(ISBLANK(B55),"",INDEX('indices order'!B$2:B$97,G55))</f>
        <v/>
      </c>
      <c r="I55" s="6" t="str">
        <f>IF(ISBLANK(B55),"",INDEX('indices order'!C$2:C$97,G55))</f>
        <v/>
      </c>
      <c r="J55" s="6" t="e">
        <f t="shared" si="5"/>
        <v>#VALUE!</v>
      </c>
      <c r="K55" s="13">
        <v>1</v>
      </c>
      <c r="L55" s="26" t="str">
        <f t="shared" si="6"/>
        <v/>
      </c>
      <c r="M55" s="6" t="str">
        <f t="shared" si="7"/>
        <v/>
      </c>
      <c r="N55" s="13">
        <v>1</v>
      </c>
      <c r="O55" s="26" t="str">
        <f t="shared" si="8"/>
        <v/>
      </c>
      <c r="P55" s="6" t="str">
        <f t="shared" si="9"/>
        <v/>
      </c>
    </row>
    <row r="56" spans="1:16" x14ac:dyDescent="0.25">
      <c r="A56" s="6">
        <v>42</v>
      </c>
      <c r="B56" s="21"/>
      <c r="C56" s="21"/>
      <c r="D56" s="21"/>
      <c r="E56" s="21"/>
      <c r="F56" s="21"/>
      <c r="G56" s="6" t="str">
        <f t="shared" si="4"/>
        <v/>
      </c>
      <c r="H56" s="6" t="str">
        <f>IF(ISBLANK(B56),"",INDEX('indices order'!B$2:B$97,G56))</f>
        <v/>
      </c>
      <c r="I56" s="6" t="str">
        <f>IF(ISBLANK(B56),"",INDEX('indices order'!C$2:C$97,G56))</f>
        <v/>
      </c>
      <c r="J56" s="6" t="e">
        <f t="shared" si="5"/>
        <v>#VALUE!</v>
      </c>
      <c r="K56" s="13">
        <v>2</v>
      </c>
      <c r="L56" s="26" t="str">
        <f t="shared" si="6"/>
        <v/>
      </c>
      <c r="M56" s="6" t="str">
        <f t="shared" si="7"/>
        <v/>
      </c>
      <c r="N56" s="13">
        <v>2</v>
      </c>
      <c r="O56" s="26" t="str">
        <f t="shared" si="8"/>
        <v/>
      </c>
      <c r="P56" s="6" t="str">
        <f t="shared" si="9"/>
        <v/>
      </c>
    </row>
    <row r="57" spans="1:16" x14ac:dyDescent="0.25">
      <c r="A57" s="6">
        <v>43</v>
      </c>
      <c r="B57" s="21"/>
      <c r="C57" s="21"/>
      <c r="D57" s="21"/>
      <c r="E57" s="21"/>
      <c r="F57" s="21"/>
      <c r="G57" s="6" t="str">
        <f t="shared" si="4"/>
        <v/>
      </c>
      <c r="H57" s="6" t="str">
        <f>IF(ISBLANK(B57),"",INDEX('indices order'!B$2:B$97,G57))</f>
        <v/>
      </c>
      <c r="I57" s="6" t="str">
        <f>IF(ISBLANK(B57),"",INDEX('indices order'!C$2:C$97,G57))</f>
        <v/>
      </c>
      <c r="J57" s="6" t="e">
        <f t="shared" si="5"/>
        <v>#VALUE!</v>
      </c>
      <c r="K57" s="13">
        <v>3</v>
      </c>
      <c r="L57" s="26" t="str">
        <f t="shared" si="6"/>
        <v/>
      </c>
      <c r="M57" s="6" t="str">
        <f t="shared" si="7"/>
        <v/>
      </c>
      <c r="N57" s="13">
        <v>3</v>
      </c>
      <c r="O57" s="26" t="str">
        <f t="shared" si="8"/>
        <v/>
      </c>
      <c r="P57" s="6" t="str">
        <f t="shared" si="9"/>
        <v/>
      </c>
    </row>
    <row r="58" spans="1:16" x14ac:dyDescent="0.25">
      <c r="A58" s="6">
        <v>44</v>
      </c>
      <c r="B58" s="21"/>
      <c r="C58" s="21"/>
      <c r="D58" s="21"/>
      <c r="E58" s="21"/>
      <c r="F58" s="21"/>
      <c r="G58" s="6" t="str">
        <f t="shared" si="4"/>
        <v/>
      </c>
      <c r="H58" s="6" t="str">
        <f>IF(ISBLANK(B58),"",INDEX('indices order'!B$2:B$97,G58))</f>
        <v/>
      </c>
      <c r="I58" s="6" t="str">
        <f>IF(ISBLANK(B58),"",INDEX('indices order'!C$2:C$97,G58))</f>
        <v/>
      </c>
      <c r="J58" s="6" t="e">
        <f t="shared" si="5"/>
        <v>#VALUE!</v>
      </c>
      <c r="K58" s="13">
        <v>4</v>
      </c>
      <c r="L58" s="26" t="str">
        <f t="shared" si="6"/>
        <v/>
      </c>
      <c r="M58" s="6" t="str">
        <f t="shared" si="7"/>
        <v/>
      </c>
      <c r="N58" s="13">
        <v>4</v>
      </c>
      <c r="O58" s="26" t="str">
        <f t="shared" si="8"/>
        <v/>
      </c>
      <c r="P58" s="6" t="str">
        <f t="shared" si="9"/>
        <v/>
      </c>
    </row>
    <row r="59" spans="1:16" x14ac:dyDescent="0.25">
      <c r="A59" s="6">
        <v>45</v>
      </c>
      <c r="B59" s="21"/>
      <c r="C59" s="21"/>
      <c r="D59" s="21"/>
      <c r="E59" s="21"/>
      <c r="F59" s="21"/>
      <c r="G59" s="6" t="str">
        <f t="shared" si="4"/>
        <v/>
      </c>
      <c r="H59" s="6" t="str">
        <f>IF(ISBLANK(B59),"",INDEX('indices order'!B$2:B$97,G59))</f>
        <v/>
      </c>
      <c r="I59" s="6" t="str">
        <f>IF(ISBLANK(B59),"",INDEX('indices order'!C$2:C$97,G59))</f>
        <v/>
      </c>
      <c r="J59" s="6" t="e">
        <f t="shared" si="5"/>
        <v>#VALUE!</v>
      </c>
      <c r="K59" s="13">
        <v>5</v>
      </c>
      <c r="L59" s="26" t="str">
        <f t="shared" si="6"/>
        <v/>
      </c>
      <c r="M59" s="6" t="str">
        <f t="shared" si="7"/>
        <v/>
      </c>
      <c r="N59" s="13">
        <v>5</v>
      </c>
      <c r="O59" s="26" t="str">
        <f t="shared" si="8"/>
        <v/>
      </c>
      <c r="P59" s="6" t="str">
        <f t="shared" si="9"/>
        <v/>
      </c>
    </row>
    <row r="60" spans="1:16" x14ac:dyDescent="0.25">
      <c r="A60" s="6">
        <v>46</v>
      </c>
      <c r="B60" s="21"/>
      <c r="C60" s="21"/>
      <c r="D60" s="21"/>
      <c r="E60" s="21"/>
      <c r="F60" s="21"/>
      <c r="G60" s="6" t="str">
        <f t="shared" si="4"/>
        <v/>
      </c>
      <c r="H60" s="6" t="str">
        <f>IF(ISBLANK(B60),"",INDEX('indices order'!B$2:B$97,G60))</f>
        <v/>
      </c>
      <c r="I60" s="6" t="str">
        <f>IF(ISBLANK(B60),"",INDEX('indices order'!C$2:C$97,G60))</f>
        <v/>
      </c>
      <c r="J60" s="6" t="e">
        <f t="shared" si="5"/>
        <v>#VALUE!</v>
      </c>
      <c r="K60" s="13">
        <v>6</v>
      </c>
      <c r="L60" s="26" t="str">
        <f t="shared" si="6"/>
        <v/>
      </c>
      <c r="M60" s="6" t="str">
        <f t="shared" si="7"/>
        <v/>
      </c>
      <c r="N60" s="13">
        <v>6</v>
      </c>
      <c r="O60" s="26" t="str">
        <f t="shared" si="8"/>
        <v/>
      </c>
      <c r="P60" s="6" t="str">
        <f t="shared" si="9"/>
        <v/>
      </c>
    </row>
    <row r="61" spans="1:16" x14ac:dyDescent="0.25">
      <c r="A61" s="6">
        <v>47</v>
      </c>
      <c r="B61" s="21"/>
      <c r="C61" s="21"/>
      <c r="D61" s="21"/>
      <c r="E61" s="21"/>
      <c r="F61" s="21"/>
      <c r="G61" s="6" t="str">
        <f t="shared" si="4"/>
        <v/>
      </c>
      <c r="H61" s="6" t="str">
        <f>IF(ISBLANK(B61),"",INDEX('indices order'!B$2:B$97,G61))</f>
        <v/>
      </c>
      <c r="I61" s="6" t="str">
        <f>IF(ISBLANK(B61),"",INDEX('indices order'!C$2:C$97,G61))</f>
        <v/>
      </c>
      <c r="J61" s="6" t="e">
        <f t="shared" si="5"/>
        <v>#VALUE!</v>
      </c>
      <c r="K61" s="13">
        <v>7</v>
      </c>
      <c r="L61" s="26" t="str">
        <f t="shared" si="6"/>
        <v/>
      </c>
      <c r="M61" s="6" t="str">
        <f t="shared" si="7"/>
        <v/>
      </c>
      <c r="N61" s="13">
        <v>7</v>
      </c>
      <c r="O61" s="26" t="str">
        <f t="shared" si="8"/>
        <v/>
      </c>
      <c r="P61" s="6" t="str">
        <f t="shared" si="9"/>
        <v/>
      </c>
    </row>
    <row r="62" spans="1:16" ht="16.5" thickBot="1" x14ac:dyDescent="0.3">
      <c r="A62" s="8">
        <v>48</v>
      </c>
      <c r="B62" s="22"/>
      <c r="C62" s="22"/>
      <c r="D62" s="22"/>
      <c r="E62" s="22"/>
      <c r="F62" s="22"/>
      <c r="G62" s="8" t="str">
        <f t="shared" si="4"/>
        <v/>
      </c>
      <c r="H62" s="8" t="str">
        <f>IF(ISBLANK(B62),"",INDEX('indices order'!B$2:B$97,G62))</f>
        <v/>
      </c>
      <c r="I62" s="8" t="str">
        <f>IF(ISBLANK(B62),"",INDEX('indices order'!C$2:C$97,G62))</f>
        <v/>
      </c>
      <c r="J62" s="8" t="e">
        <f t="shared" si="5"/>
        <v>#VALUE!</v>
      </c>
      <c r="K62" s="19">
        <v>8</v>
      </c>
      <c r="L62" s="27" t="str">
        <f t="shared" si="6"/>
        <v/>
      </c>
      <c r="M62" s="8" t="str">
        <f t="shared" si="7"/>
        <v/>
      </c>
      <c r="N62" s="19">
        <v>8</v>
      </c>
      <c r="O62" s="27" t="str">
        <f t="shared" si="8"/>
        <v/>
      </c>
      <c r="P62" s="8" t="str">
        <f t="shared" si="9"/>
        <v/>
      </c>
    </row>
    <row r="63" spans="1:16" x14ac:dyDescent="0.25">
      <c r="A63" s="6">
        <v>49</v>
      </c>
      <c r="B63" s="21"/>
      <c r="C63" s="21"/>
      <c r="D63" s="21"/>
      <c r="E63" s="21"/>
      <c r="F63" s="21"/>
      <c r="G63" s="6" t="str">
        <f t="shared" si="4"/>
        <v/>
      </c>
      <c r="H63" s="6" t="str">
        <f>IF(ISBLANK(B63),"",INDEX('indices order'!B$2:B$97,G63))</f>
        <v/>
      </c>
      <c r="I63" s="6" t="str">
        <f>IF(ISBLANK(B63),"",INDEX('indices order'!C$2:C$97,G63))</f>
        <v/>
      </c>
      <c r="J63" s="6" t="e">
        <f t="shared" si="5"/>
        <v>#VALUE!</v>
      </c>
      <c r="K63" s="13">
        <v>1</v>
      </c>
      <c r="L63" s="26" t="str">
        <f t="shared" si="6"/>
        <v/>
      </c>
      <c r="M63" s="6" t="str">
        <f t="shared" si="7"/>
        <v/>
      </c>
      <c r="N63" s="13">
        <v>1</v>
      </c>
      <c r="O63" s="26" t="str">
        <f t="shared" si="8"/>
        <v/>
      </c>
      <c r="P63" s="6" t="str">
        <f t="shared" si="9"/>
        <v/>
      </c>
    </row>
    <row r="64" spans="1:16" x14ac:dyDescent="0.25">
      <c r="A64" s="6">
        <v>50</v>
      </c>
      <c r="B64" s="21"/>
      <c r="C64" s="21"/>
      <c r="D64" s="21"/>
      <c r="E64" s="21"/>
      <c r="F64" s="21"/>
      <c r="G64" s="6" t="str">
        <f t="shared" si="4"/>
        <v/>
      </c>
      <c r="H64" s="6" t="str">
        <f>IF(ISBLANK(B64),"",INDEX('indices order'!B$2:B$97,G64))</f>
        <v/>
      </c>
      <c r="I64" s="6" t="str">
        <f>IF(ISBLANK(B64),"",INDEX('indices order'!C$2:C$97,G64))</f>
        <v/>
      </c>
      <c r="J64" s="6" t="e">
        <f t="shared" si="5"/>
        <v>#VALUE!</v>
      </c>
      <c r="K64" s="13">
        <v>2</v>
      </c>
      <c r="L64" s="26" t="str">
        <f t="shared" si="6"/>
        <v/>
      </c>
      <c r="M64" s="6" t="str">
        <f t="shared" si="7"/>
        <v/>
      </c>
      <c r="N64" s="13">
        <v>2</v>
      </c>
      <c r="O64" s="26" t="str">
        <f t="shared" si="8"/>
        <v/>
      </c>
      <c r="P64" s="6" t="str">
        <f t="shared" si="9"/>
        <v/>
      </c>
    </row>
    <row r="65" spans="1:16" x14ac:dyDescent="0.25">
      <c r="A65" s="6">
        <v>51</v>
      </c>
      <c r="B65" s="21"/>
      <c r="C65" s="21"/>
      <c r="D65" s="21"/>
      <c r="E65" s="21"/>
      <c r="F65" s="21"/>
      <c r="G65" s="6" t="str">
        <f t="shared" si="4"/>
        <v/>
      </c>
      <c r="H65" s="6" t="str">
        <f>IF(ISBLANK(B65),"",INDEX('indices order'!B$2:B$97,G65))</f>
        <v/>
      </c>
      <c r="I65" s="6" t="str">
        <f>IF(ISBLANK(B65),"",INDEX('indices order'!C$2:C$97,G65))</f>
        <v/>
      </c>
      <c r="J65" s="6" t="e">
        <f t="shared" si="5"/>
        <v>#VALUE!</v>
      </c>
      <c r="K65" s="13">
        <v>3</v>
      </c>
      <c r="L65" s="26" t="str">
        <f t="shared" si="6"/>
        <v/>
      </c>
      <c r="M65" s="6" t="str">
        <f t="shared" si="7"/>
        <v/>
      </c>
      <c r="N65" s="13">
        <v>3</v>
      </c>
      <c r="O65" s="26" t="str">
        <f t="shared" si="8"/>
        <v/>
      </c>
      <c r="P65" s="6" t="str">
        <f t="shared" si="9"/>
        <v/>
      </c>
    </row>
    <row r="66" spans="1:16" x14ac:dyDescent="0.25">
      <c r="A66" s="6">
        <v>52</v>
      </c>
      <c r="B66" s="21"/>
      <c r="C66" s="21"/>
      <c r="D66" s="21"/>
      <c r="E66" s="21"/>
      <c r="F66" s="21"/>
      <c r="G66" s="6" t="str">
        <f t="shared" si="4"/>
        <v/>
      </c>
      <c r="H66" s="6" t="str">
        <f>IF(ISBLANK(B66),"",INDEX('indices order'!B$2:B$97,G66))</f>
        <v/>
      </c>
      <c r="I66" s="6" t="str">
        <f>IF(ISBLANK(B66),"",INDEX('indices order'!C$2:C$97,G66))</f>
        <v/>
      </c>
      <c r="J66" s="6" t="e">
        <f t="shared" si="5"/>
        <v>#VALUE!</v>
      </c>
      <c r="K66" s="13">
        <v>4</v>
      </c>
      <c r="L66" s="26" t="str">
        <f t="shared" si="6"/>
        <v/>
      </c>
      <c r="M66" s="6" t="str">
        <f t="shared" si="7"/>
        <v/>
      </c>
      <c r="N66" s="13">
        <v>4</v>
      </c>
      <c r="O66" s="26" t="str">
        <f t="shared" si="8"/>
        <v/>
      </c>
      <c r="P66" s="6" t="str">
        <f t="shared" si="9"/>
        <v/>
      </c>
    </row>
    <row r="67" spans="1:16" x14ac:dyDescent="0.25">
      <c r="A67" s="6">
        <v>53</v>
      </c>
      <c r="B67" s="21"/>
      <c r="C67" s="21"/>
      <c r="D67" s="21"/>
      <c r="E67" s="21"/>
      <c r="F67" s="21"/>
      <c r="G67" s="6" t="str">
        <f t="shared" si="4"/>
        <v/>
      </c>
      <c r="H67" s="6" t="str">
        <f>IF(ISBLANK(B67),"",INDEX('indices order'!B$2:B$97,G67))</f>
        <v/>
      </c>
      <c r="I67" s="6" t="str">
        <f>IF(ISBLANK(B67),"",INDEX('indices order'!C$2:C$97,G67))</f>
        <v/>
      </c>
      <c r="J67" s="6" t="e">
        <f t="shared" si="5"/>
        <v>#VALUE!</v>
      </c>
      <c r="K67" s="13">
        <v>5</v>
      </c>
      <c r="L67" s="26" t="str">
        <f t="shared" si="6"/>
        <v/>
      </c>
      <c r="M67" s="6" t="str">
        <f t="shared" si="7"/>
        <v/>
      </c>
      <c r="N67" s="13">
        <v>5</v>
      </c>
      <c r="O67" s="26" t="str">
        <f t="shared" si="8"/>
        <v/>
      </c>
      <c r="P67" s="6" t="str">
        <f t="shared" si="9"/>
        <v/>
      </c>
    </row>
    <row r="68" spans="1:16" x14ac:dyDescent="0.25">
      <c r="A68" s="6">
        <v>54</v>
      </c>
      <c r="B68" s="21"/>
      <c r="C68" s="21"/>
      <c r="D68" s="21"/>
      <c r="E68" s="21"/>
      <c r="F68" s="21"/>
      <c r="G68" s="6" t="str">
        <f t="shared" si="4"/>
        <v/>
      </c>
      <c r="H68" s="6" t="str">
        <f>IF(ISBLANK(B68),"",INDEX('indices order'!B$2:B$97,G68))</f>
        <v/>
      </c>
      <c r="I68" s="6" t="str">
        <f>IF(ISBLANK(B68),"",INDEX('indices order'!C$2:C$97,G68))</f>
        <v/>
      </c>
      <c r="J68" s="6" t="e">
        <f t="shared" si="5"/>
        <v>#VALUE!</v>
      </c>
      <c r="K68" s="13">
        <v>6</v>
      </c>
      <c r="L68" s="26" t="str">
        <f t="shared" si="6"/>
        <v/>
      </c>
      <c r="M68" s="6" t="str">
        <f t="shared" si="7"/>
        <v/>
      </c>
      <c r="N68" s="13">
        <v>6</v>
      </c>
      <c r="O68" s="26" t="str">
        <f t="shared" si="8"/>
        <v/>
      </c>
      <c r="P68" s="6" t="str">
        <f t="shared" si="9"/>
        <v/>
      </c>
    </row>
    <row r="69" spans="1:16" x14ac:dyDescent="0.25">
      <c r="A69" s="6">
        <v>55</v>
      </c>
      <c r="B69" s="21"/>
      <c r="C69" s="21"/>
      <c r="D69" s="21"/>
      <c r="E69" s="21"/>
      <c r="F69" s="21"/>
      <c r="G69" s="6" t="str">
        <f t="shared" si="4"/>
        <v/>
      </c>
      <c r="H69" s="6" t="str">
        <f>IF(ISBLANK(B69),"",INDEX('indices order'!B$2:B$97,G69))</f>
        <v/>
      </c>
      <c r="I69" s="6" t="str">
        <f>IF(ISBLANK(B69),"",INDEX('indices order'!C$2:C$97,G69))</f>
        <v/>
      </c>
      <c r="J69" s="6" t="e">
        <f t="shared" si="5"/>
        <v>#VALUE!</v>
      </c>
      <c r="K69" s="13">
        <v>7</v>
      </c>
      <c r="L69" s="26" t="str">
        <f t="shared" si="6"/>
        <v/>
      </c>
      <c r="M69" s="6" t="str">
        <f t="shared" si="7"/>
        <v/>
      </c>
      <c r="N69" s="13">
        <v>7</v>
      </c>
      <c r="O69" s="26" t="str">
        <f t="shared" si="8"/>
        <v/>
      </c>
      <c r="P69" s="6" t="str">
        <f t="shared" si="9"/>
        <v/>
      </c>
    </row>
    <row r="70" spans="1:16" ht="16.5" thickBot="1" x14ac:dyDescent="0.3">
      <c r="A70" s="8">
        <v>56</v>
      </c>
      <c r="B70" s="22"/>
      <c r="C70" s="22"/>
      <c r="D70" s="22"/>
      <c r="E70" s="22"/>
      <c r="F70" s="22"/>
      <c r="G70" s="8" t="str">
        <f t="shared" si="4"/>
        <v/>
      </c>
      <c r="H70" s="8" t="str">
        <f>IF(ISBLANK(B70),"",INDEX('indices order'!B$2:B$97,G70))</f>
        <v/>
      </c>
      <c r="I70" s="8" t="str">
        <f>IF(ISBLANK(B70),"",INDEX('indices order'!C$2:C$97,G70))</f>
        <v/>
      </c>
      <c r="J70" s="8" t="e">
        <f t="shared" si="5"/>
        <v>#VALUE!</v>
      </c>
      <c r="K70" s="19">
        <v>8</v>
      </c>
      <c r="L70" s="27" t="str">
        <f t="shared" si="6"/>
        <v/>
      </c>
      <c r="M70" s="8" t="str">
        <f t="shared" si="7"/>
        <v/>
      </c>
      <c r="N70" s="19">
        <v>8</v>
      </c>
      <c r="O70" s="27" t="str">
        <f t="shared" si="8"/>
        <v/>
      </c>
      <c r="P70" s="8" t="str">
        <f t="shared" si="9"/>
        <v/>
      </c>
    </row>
    <row r="71" spans="1:16" x14ac:dyDescent="0.25">
      <c r="A71" s="6">
        <v>57</v>
      </c>
      <c r="B71" s="21"/>
      <c r="C71" s="21"/>
      <c r="D71" s="21"/>
      <c r="E71" s="21"/>
      <c r="F71" s="21"/>
      <c r="G71" s="6" t="str">
        <f t="shared" si="4"/>
        <v/>
      </c>
      <c r="H71" s="6" t="str">
        <f>IF(ISBLANK(B71),"",INDEX('indices order'!B$2:B$97,G71))</f>
        <v/>
      </c>
      <c r="I71" s="6" t="str">
        <f>IF(ISBLANK(B71),"",INDEX('indices order'!C$2:C$97,G71))</f>
        <v/>
      </c>
      <c r="J71" s="6" t="e">
        <f t="shared" si="5"/>
        <v>#VALUE!</v>
      </c>
      <c r="K71" s="13">
        <v>1</v>
      </c>
      <c r="L71" s="26" t="str">
        <f t="shared" si="6"/>
        <v/>
      </c>
      <c r="M71" s="6" t="str">
        <f t="shared" si="7"/>
        <v/>
      </c>
      <c r="N71" s="13">
        <v>1</v>
      </c>
      <c r="O71" s="26" t="str">
        <f t="shared" si="8"/>
        <v/>
      </c>
      <c r="P71" s="6" t="str">
        <f t="shared" si="9"/>
        <v/>
      </c>
    </row>
    <row r="72" spans="1:16" x14ac:dyDescent="0.25">
      <c r="A72" s="6">
        <v>58</v>
      </c>
      <c r="B72" s="21"/>
      <c r="C72" s="21"/>
      <c r="D72" s="21"/>
      <c r="E72" s="21"/>
      <c r="F72" s="21"/>
      <c r="G72" s="6" t="str">
        <f t="shared" si="4"/>
        <v/>
      </c>
      <c r="H72" s="6" t="str">
        <f>IF(ISBLANK(B72),"",INDEX('indices order'!B$2:B$97,G72))</f>
        <v/>
      </c>
      <c r="I72" s="6" t="str">
        <f>IF(ISBLANK(B72),"",INDEX('indices order'!C$2:C$97,G72))</f>
        <v/>
      </c>
      <c r="J72" s="6" t="e">
        <f t="shared" si="5"/>
        <v>#VALUE!</v>
      </c>
      <c r="K72" s="13">
        <v>2</v>
      </c>
      <c r="L72" s="26" t="str">
        <f t="shared" si="6"/>
        <v/>
      </c>
      <c r="M72" s="6" t="str">
        <f t="shared" si="7"/>
        <v/>
      </c>
      <c r="N72" s="13">
        <v>2</v>
      </c>
      <c r="O72" s="26" t="str">
        <f t="shared" si="8"/>
        <v/>
      </c>
      <c r="P72" s="6" t="str">
        <f t="shared" si="9"/>
        <v/>
      </c>
    </row>
    <row r="73" spans="1:16" x14ac:dyDescent="0.25">
      <c r="A73" s="6">
        <v>59</v>
      </c>
      <c r="B73" s="21"/>
      <c r="C73" s="21"/>
      <c r="D73" s="21"/>
      <c r="E73" s="21"/>
      <c r="F73" s="21"/>
      <c r="G73" s="6" t="str">
        <f t="shared" si="4"/>
        <v/>
      </c>
      <c r="H73" s="6" t="str">
        <f>IF(ISBLANK(B73),"",INDEX('indices order'!B$2:B$97,G73))</f>
        <v/>
      </c>
      <c r="I73" s="6" t="str">
        <f>IF(ISBLANK(B73),"",INDEX('indices order'!C$2:C$97,G73))</f>
        <v/>
      </c>
      <c r="J73" s="6" t="e">
        <f t="shared" si="5"/>
        <v>#VALUE!</v>
      </c>
      <c r="K73" s="13">
        <v>3</v>
      </c>
      <c r="L73" s="26" t="str">
        <f t="shared" si="6"/>
        <v/>
      </c>
      <c r="M73" s="6" t="str">
        <f t="shared" si="7"/>
        <v/>
      </c>
      <c r="N73" s="13">
        <v>3</v>
      </c>
      <c r="O73" s="26" t="str">
        <f t="shared" si="8"/>
        <v/>
      </c>
      <c r="P73" s="6" t="str">
        <f t="shared" si="9"/>
        <v/>
      </c>
    </row>
    <row r="74" spans="1:16" x14ac:dyDescent="0.25">
      <c r="A74" s="6">
        <v>60</v>
      </c>
      <c r="B74" s="21"/>
      <c r="C74" s="21"/>
      <c r="D74" s="21"/>
      <c r="E74" s="21"/>
      <c r="F74" s="21"/>
      <c r="G74" s="6" t="str">
        <f t="shared" si="4"/>
        <v/>
      </c>
      <c r="H74" s="6" t="str">
        <f>IF(ISBLANK(B74),"",INDEX('indices order'!B$2:B$97,G74))</f>
        <v/>
      </c>
      <c r="I74" s="6" t="str">
        <f>IF(ISBLANK(B74),"",INDEX('indices order'!C$2:C$97,G74))</f>
        <v/>
      </c>
      <c r="J74" s="6" t="e">
        <f t="shared" si="5"/>
        <v>#VALUE!</v>
      </c>
      <c r="K74" s="13">
        <v>4</v>
      </c>
      <c r="L74" s="26" t="str">
        <f t="shared" si="6"/>
        <v/>
      </c>
      <c r="M74" s="6" t="str">
        <f t="shared" si="7"/>
        <v/>
      </c>
      <c r="N74" s="13">
        <v>4</v>
      </c>
      <c r="O74" s="26" t="str">
        <f t="shared" si="8"/>
        <v/>
      </c>
      <c r="P74" s="6" t="str">
        <f t="shared" si="9"/>
        <v/>
      </c>
    </row>
    <row r="75" spans="1:16" x14ac:dyDescent="0.25">
      <c r="A75" s="6">
        <v>61</v>
      </c>
      <c r="B75" s="21"/>
      <c r="C75" s="21"/>
      <c r="D75" s="21"/>
      <c r="E75" s="21"/>
      <c r="F75" s="21"/>
      <c r="G75" s="6" t="str">
        <f t="shared" si="4"/>
        <v/>
      </c>
      <c r="H75" s="6" t="str">
        <f>IF(ISBLANK(B75),"",INDEX('indices order'!B$2:B$97,G75))</f>
        <v/>
      </c>
      <c r="I75" s="6" t="str">
        <f>IF(ISBLANK(B75),"",INDEX('indices order'!C$2:C$97,G75))</f>
        <v/>
      </c>
      <c r="J75" s="6" t="e">
        <f t="shared" si="5"/>
        <v>#VALUE!</v>
      </c>
      <c r="K75" s="13">
        <v>5</v>
      </c>
      <c r="L75" s="26" t="str">
        <f t="shared" si="6"/>
        <v/>
      </c>
      <c r="M75" s="6" t="str">
        <f t="shared" si="7"/>
        <v/>
      </c>
      <c r="N75" s="13">
        <v>5</v>
      </c>
      <c r="O75" s="26" t="str">
        <f t="shared" si="8"/>
        <v/>
      </c>
      <c r="P75" s="6" t="str">
        <f t="shared" si="9"/>
        <v/>
      </c>
    </row>
    <row r="76" spans="1:16" x14ac:dyDescent="0.25">
      <c r="A76" s="6">
        <v>62</v>
      </c>
      <c r="B76" s="21"/>
      <c r="C76" s="21"/>
      <c r="D76" s="21"/>
      <c r="E76" s="21"/>
      <c r="F76" s="21"/>
      <c r="G76" s="6" t="str">
        <f t="shared" si="4"/>
        <v/>
      </c>
      <c r="H76" s="6" t="str">
        <f>IF(ISBLANK(B76),"",INDEX('indices order'!B$2:B$97,G76))</f>
        <v/>
      </c>
      <c r="I76" s="6" t="str">
        <f>IF(ISBLANK(B76),"",INDEX('indices order'!C$2:C$97,G76))</f>
        <v/>
      </c>
      <c r="J76" s="6" t="e">
        <f t="shared" si="5"/>
        <v>#VALUE!</v>
      </c>
      <c r="K76" s="13">
        <v>6</v>
      </c>
      <c r="L76" s="26" t="str">
        <f t="shared" si="6"/>
        <v/>
      </c>
      <c r="M76" s="6" t="str">
        <f t="shared" si="7"/>
        <v/>
      </c>
      <c r="N76" s="13">
        <v>6</v>
      </c>
      <c r="O76" s="26" t="str">
        <f t="shared" si="8"/>
        <v/>
      </c>
      <c r="P76" s="6" t="str">
        <f t="shared" si="9"/>
        <v/>
      </c>
    </row>
    <row r="77" spans="1:16" x14ac:dyDescent="0.25">
      <c r="A77" s="6">
        <v>63</v>
      </c>
      <c r="B77" s="21"/>
      <c r="C77" s="21"/>
      <c r="D77" s="21"/>
      <c r="E77" s="21"/>
      <c r="F77" s="21"/>
      <c r="G77" s="6" t="str">
        <f t="shared" si="4"/>
        <v/>
      </c>
      <c r="H77" s="6" t="str">
        <f>IF(ISBLANK(B77),"",INDEX('indices order'!B$2:B$97,G77))</f>
        <v/>
      </c>
      <c r="I77" s="6" t="str">
        <f>IF(ISBLANK(B77),"",INDEX('indices order'!C$2:C$97,G77))</f>
        <v/>
      </c>
      <c r="J77" s="6" t="e">
        <f t="shared" si="5"/>
        <v>#VALUE!</v>
      </c>
      <c r="K77" s="13">
        <v>7</v>
      </c>
      <c r="L77" s="26" t="str">
        <f t="shared" si="6"/>
        <v/>
      </c>
      <c r="M77" s="6" t="str">
        <f t="shared" si="7"/>
        <v/>
      </c>
      <c r="N77" s="13">
        <v>7</v>
      </c>
      <c r="O77" s="26" t="str">
        <f t="shared" si="8"/>
        <v/>
      </c>
      <c r="P77" s="6" t="str">
        <f t="shared" si="9"/>
        <v/>
      </c>
    </row>
    <row r="78" spans="1:16" ht="16.5" thickBot="1" x14ac:dyDescent="0.3">
      <c r="A78" s="8">
        <v>64</v>
      </c>
      <c r="B78" s="22"/>
      <c r="C78" s="22"/>
      <c r="D78" s="22"/>
      <c r="E78" s="22"/>
      <c r="F78" s="22"/>
      <c r="G78" s="8" t="str">
        <f t="shared" si="4"/>
        <v/>
      </c>
      <c r="H78" s="8" t="str">
        <f>IF(ISBLANK(B78),"",INDEX('indices order'!B$2:B$97,G78))</f>
        <v/>
      </c>
      <c r="I78" s="8" t="str">
        <f>IF(ISBLANK(B78),"",INDEX('indices order'!C$2:C$97,G78))</f>
        <v/>
      </c>
      <c r="J78" s="8" t="e">
        <f t="shared" si="5"/>
        <v>#VALUE!</v>
      </c>
      <c r="K78" s="19">
        <v>8</v>
      </c>
      <c r="L78" s="27" t="str">
        <f t="shared" si="6"/>
        <v/>
      </c>
      <c r="M78" s="8" t="str">
        <f t="shared" si="7"/>
        <v/>
      </c>
      <c r="N78" s="19">
        <v>8</v>
      </c>
      <c r="O78" s="27" t="str">
        <f t="shared" si="8"/>
        <v/>
      </c>
      <c r="P78" s="8" t="str">
        <f t="shared" si="9"/>
        <v/>
      </c>
    </row>
    <row r="79" spans="1:16" x14ac:dyDescent="0.25">
      <c r="A79" s="6">
        <v>65</v>
      </c>
      <c r="B79" s="21"/>
      <c r="C79" s="21"/>
      <c r="D79" s="21"/>
      <c r="E79" s="21"/>
      <c r="F79" s="21"/>
      <c r="G79" s="6" t="str">
        <f t="shared" si="4"/>
        <v/>
      </c>
      <c r="H79" s="6" t="str">
        <f>IF(ISBLANK(B79),"",INDEX('indices order'!B$2:B$97,G79))</f>
        <v/>
      </c>
      <c r="I79" s="6" t="str">
        <f>IF(ISBLANK(B79),"",INDEX('indices order'!C$2:C$97,G79))</f>
        <v/>
      </c>
      <c r="J79" s="6" t="e">
        <f t="shared" si="5"/>
        <v>#VALUE!</v>
      </c>
      <c r="K79" s="13">
        <v>1</v>
      </c>
      <c r="L79" s="26" t="str">
        <f t="shared" ref="L79:L110" si="10">IF(ISBLANK(B79),"",INDEX(I7_Index_ID,H79))</f>
        <v/>
      </c>
      <c r="M79" s="6" t="str">
        <f t="shared" ref="M79:M110" si="11">IF(ISBLANK(B79),"",INDEX(I7_Index,MATCH(L79,I7_Index_ID,0)))</f>
        <v/>
      </c>
      <c r="N79" s="13">
        <v>1</v>
      </c>
      <c r="O79" s="26" t="str">
        <f t="shared" ref="O79:O110" si="12">IF(ISBLANK(B79),"",INDEX(I5_Index_ID,I79))</f>
        <v/>
      </c>
      <c r="P79" s="6" t="str">
        <f t="shared" ref="P79:P110" si="13">IF(ISBLANK(B79),"",INDEX(I5_Index,MATCH(O79,I5_Index_ID,0)))</f>
        <v/>
      </c>
    </row>
    <row r="80" spans="1:16" x14ac:dyDescent="0.25">
      <c r="A80" s="6">
        <v>66</v>
      </c>
      <c r="B80" s="21"/>
      <c r="C80" s="21"/>
      <c r="D80" s="21"/>
      <c r="E80" s="21"/>
      <c r="F80" s="21"/>
      <c r="G80" s="6" t="str">
        <f t="shared" si="4"/>
        <v/>
      </c>
      <c r="H80" s="6" t="str">
        <f>IF(ISBLANK(B80),"",INDEX('indices order'!B$2:B$97,G80))</f>
        <v/>
      </c>
      <c r="I80" s="6" t="str">
        <f>IF(ISBLANK(B80),"",INDEX('indices order'!C$2:C$97,G80))</f>
        <v/>
      </c>
      <c r="J80" s="6" t="e">
        <f t="shared" si="5"/>
        <v>#VALUE!</v>
      </c>
      <c r="K80" s="13">
        <v>2</v>
      </c>
      <c r="L80" s="26" t="str">
        <f t="shared" si="10"/>
        <v/>
      </c>
      <c r="M80" s="6" t="str">
        <f t="shared" si="11"/>
        <v/>
      </c>
      <c r="N80" s="13">
        <v>2</v>
      </c>
      <c r="O80" s="26" t="str">
        <f t="shared" si="12"/>
        <v/>
      </c>
      <c r="P80" s="6" t="str">
        <f t="shared" si="13"/>
        <v/>
      </c>
    </row>
    <row r="81" spans="1:16" x14ac:dyDescent="0.25">
      <c r="A81" s="6">
        <v>67</v>
      </c>
      <c r="B81" s="21"/>
      <c r="C81" s="21"/>
      <c r="D81" s="21"/>
      <c r="E81" s="21"/>
      <c r="F81" s="21"/>
      <c r="G81" s="6" t="str">
        <f t="shared" ref="G81:G110" si="14">IF(ISBLANK(B81),"",IF(G80+1&gt;96,G80+1-96,G80+1))</f>
        <v/>
      </c>
      <c r="H81" s="6" t="str">
        <f>IF(ISBLANK(B81),"",INDEX('indices order'!B$2:B$97,G81))</f>
        <v/>
      </c>
      <c r="I81" s="6" t="str">
        <f>IF(ISBLANK(B81),"",INDEX('indices order'!C$2:C$97,G81))</f>
        <v/>
      </c>
      <c r="J81" s="6" t="e">
        <f t="shared" ref="J81:J110" si="15">H81-H80</f>
        <v>#VALUE!</v>
      </c>
      <c r="K81" s="13">
        <v>3</v>
      </c>
      <c r="L81" s="26" t="str">
        <f t="shared" si="10"/>
        <v/>
      </c>
      <c r="M81" s="6" t="str">
        <f t="shared" si="11"/>
        <v/>
      </c>
      <c r="N81" s="13">
        <v>3</v>
      </c>
      <c r="O81" s="26" t="str">
        <f t="shared" si="12"/>
        <v/>
      </c>
      <c r="P81" s="6" t="str">
        <f t="shared" si="13"/>
        <v/>
      </c>
    </row>
    <row r="82" spans="1:16" x14ac:dyDescent="0.25">
      <c r="A82" s="6">
        <v>68</v>
      </c>
      <c r="B82" s="21"/>
      <c r="C82" s="21"/>
      <c r="D82" s="21"/>
      <c r="E82" s="21"/>
      <c r="F82" s="21"/>
      <c r="G82" s="6" t="str">
        <f t="shared" si="14"/>
        <v/>
      </c>
      <c r="H82" s="6" t="str">
        <f>IF(ISBLANK(B82),"",INDEX('indices order'!B$2:B$97,G82))</f>
        <v/>
      </c>
      <c r="I82" s="6" t="str">
        <f>IF(ISBLANK(B82),"",INDEX('indices order'!C$2:C$97,G82))</f>
        <v/>
      </c>
      <c r="J82" s="6" t="e">
        <f t="shared" si="15"/>
        <v>#VALUE!</v>
      </c>
      <c r="K82" s="13">
        <v>4</v>
      </c>
      <c r="L82" s="26" t="str">
        <f t="shared" si="10"/>
        <v/>
      </c>
      <c r="M82" s="6" t="str">
        <f t="shared" si="11"/>
        <v/>
      </c>
      <c r="N82" s="13">
        <v>4</v>
      </c>
      <c r="O82" s="26" t="str">
        <f t="shared" si="12"/>
        <v/>
      </c>
      <c r="P82" s="6" t="str">
        <f t="shared" si="13"/>
        <v/>
      </c>
    </row>
    <row r="83" spans="1:16" x14ac:dyDescent="0.25">
      <c r="A83" s="6">
        <v>69</v>
      </c>
      <c r="B83" s="21"/>
      <c r="C83" s="21"/>
      <c r="D83" s="21"/>
      <c r="E83" s="21"/>
      <c r="F83" s="21"/>
      <c r="G83" s="6" t="str">
        <f t="shared" si="14"/>
        <v/>
      </c>
      <c r="H83" s="6" t="str">
        <f>IF(ISBLANK(B83),"",INDEX('indices order'!B$2:B$97,G83))</f>
        <v/>
      </c>
      <c r="I83" s="6" t="str">
        <f>IF(ISBLANK(B83),"",INDEX('indices order'!C$2:C$97,G83))</f>
        <v/>
      </c>
      <c r="J83" s="6" t="e">
        <f t="shared" si="15"/>
        <v>#VALUE!</v>
      </c>
      <c r="K83" s="13">
        <v>5</v>
      </c>
      <c r="L83" s="26" t="str">
        <f t="shared" si="10"/>
        <v/>
      </c>
      <c r="M83" s="6" t="str">
        <f t="shared" si="11"/>
        <v/>
      </c>
      <c r="N83" s="13">
        <v>5</v>
      </c>
      <c r="O83" s="26" t="str">
        <f t="shared" si="12"/>
        <v/>
      </c>
      <c r="P83" s="6" t="str">
        <f t="shared" si="13"/>
        <v/>
      </c>
    </row>
    <row r="84" spans="1:16" x14ac:dyDescent="0.25">
      <c r="A84" s="6">
        <v>70</v>
      </c>
      <c r="B84" s="21"/>
      <c r="C84" s="21"/>
      <c r="D84" s="21"/>
      <c r="E84" s="21"/>
      <c r="F84" s="21"/>
      <c r="G84" s="6" t="str">
        <f t="shared" si="14"/>
        <v/>
      </c>
      <c r="H84" s="6" t="str">
        <f>IF(ISBLANK(B84),"",INDEX('indices order'!B$2:B$97,G84))</f>
        <v/>
      </c>
      <c r="I84" s="6" t="str">
        <f>IF(ISBLANK(B84),"",INDEX('indices order'!C$2:C$97,G84))</f>
        <v/>
      </c>
      <c r="J84" s="6" t="e">
        <f t="shared" si="15"/>
        <v>#VALUE!</v>
      </c>
      <c r="K84" s="13">
        <v>6</v>
      </c>
      <c r="L84" s="26" t="str">
        <f t="shared" si="10"/>
        <v/>
      </c>
      <c r="M84" s="6" t="str">
        <f t="shared" si="11"/>
        <v/>
      </c>
      <c r="N84" s="13">
        <v>6</v>
      </c>
      <c r="O84" s="26" t="str">
        <f t="shared" si="12"/>
        <v/>
      </c>
      <c r="P84" s="6" t="str">
        <f t="shared" si="13"/>
        <v/>
      </c>
    </row>
    <row r="85" spans="1:16" x14ac:dyDescent="0.25">
      <c r="A85" s="6">
        <v>71</v>
      </c>
      <c r="B85" s="21"/>
      <c r="C85" s="21"/>
      <c r="D85" s="21"/>
      <c r="E85" s="21"/>
      <c r="F85" s="21"/>
      <c r="G85" s="6" t="str">
        <f t="shared" si="14"/>
        <v/>
      </c>
      <c r="H85" s="6" t="str">
        <f>IF(ISBLANK(B85),"",INDEX('indices order'!B$2:B$97,G85))</f>
        <v/>
      </c>
      <c r="I85" s="6" t="str">
        <f>IF(ISBLANK(B85),"",INDEX('indices order'!C$2:C$97,G85))</f>
        <v/>
      </c>
      <c r="J85" s="6" t="e">
        <f t="shared" si="15"/>
        <v>#VALUE!</v>
      </c>
      <c r="K85" s="13">
        <v>7</v>
      </c>
      <c r="L85" s="26" t="str">
        <f t="shared" si="10"/>
        <v/>
      </c>
      <c r="M85" s="6" t="str">
        <f t="shared" si="11"/>
        <v/>
      </c>
      <c r="N85" s="13">
        <v>7</v>
      </c>
      <c r="O85" s="26" t="str">
        <f t="shared" si="12"/>
        <v/>
      </c>
      <c r="P85" s="6" t="str">
        <f t="shared" si="13"/>
        <v/>
      </c>
    </row>
    <row r="86" spans="1:16" ht="16.5" thickBot="1" x14ac:dyDescent="0.3">
      <c r="A86" s="8">
        <v>72</v>
      </c>
      <c r="B86" s="22"/>
      <c r="C86" s="22"/>
      <c r="D86" s="22"/>
      <c r="E86" s="22"/>
      <c r="F86" s="22"/>
      <c r="G86" s="8" t="str">
        <f t="shared" si="14"/>
        <v/>
      </c>
      <c r="H86" s="8" t="str">
        <f>IF(ISBLANK(B86),"",INDEX('indices order'!B$2:B$97,G86))</f>
        <v/>
      </c>
      <c r="I86" s="8" t="str">
        <f>IF(ISBLANK(B86),"",INDEX('indices order'!C$2:C$97,G86))</f>
        <v/>
      </c>
      <c r="J86" s="8" t="e">
        <f t="shared" si="15"/>
        <v>#VALUE!</v>
      </c>
      <c r="K86" s="19">
        <v>8</v>
      </c>
      <c r="L86" s="27" t="str">
        <f t="shared" si="10"/>
        <v/>
      </c>
      <c r="M86" s="8" t="str">
        <f t="shared" si="11"/>
        <v/>
      </c>
      <c r="N86" s="19">
        <v>8</v>
      </c>
      <c r="O86" s="27" t="str">
        <f t="shared" si="12"/>
        <v/>
      </c>
      <c r="P86" s="8" t="str">
        <f t="shared" si="13"/>
        <v/>
      </c>
    </row>
    <row r="87" spans="1:16" x14ac:dyDescent="0.25">
      <c r="A87" s="6">
        <v>73</v>
      </c>
      <c r="B87" s="21"/>
      <c r="C87" s="21"/>
      <c r="D87" s="21"/>
      <c r="E87" s="21"/>
      <c r="F87" s="21"/>
      <c r="G87" s="6" t="str">
        <f t="shared" si="14"/>
        <v/>
      </c>
      <c r="H87" s="6" t="str">
        <f>IF(ISBLANK(B87),"",INDEX('indices order'!B$2:B$97,G87))</f>
        <v/>
      </c>
      <c r="I87" s="6" t="str">
        <f>IF(ISBLANK(B87),"",INDEX('indices order'!C$2:C$97,G87))</f>
        <v/>
      </c>
      <c r="J87" s="6" t="e">
        <f t="shared" si="15"/>
        <v>#VALUE!</v>
      </c>
      <c r="K87" s="13">
        <v>1</v>
      </c>
      <c r="L87" s="26" t="str">
        <f t="shared" si="10"/>
        <v/>
      </c>
      <c r="M87" s="6" t="str">
        <f t="shared" si="11"/>
        <v/>
      </c>
      <c r="N87" s="13">
        <v>1</v>
      </c>
      <c r="O87" s="26" t="str">
        <f t="shared" si="12"/>
        <v/>
      </c>
      <c r="P87" s="6" t="str">
        <f t="shared" si="13"/>
        <v/>
      </c>
    </row>
    <row r="88" spans="1:16" x14ac:dyDescent="0.25">
      <c r="A88" s="6">
        <v>74</v>
      </c>
      <c r="B88" s="21"/>
      <c r="C88" s="21"/>
      <c r="D88" s="21"/>
      <c r="E88" s="21"/>
      <c r="F88" s="21"/>
      <c r="G88" s="6" t="str">
        <f t="shared" si="14"/>
        <v/>
      </c>
      <c r="H88" s="6" t="str">
        <f>IF(ISBLANK(B88),"",INDEX('indices order'!B$2:B$97,G88))</f>
        <v/>
      </c>
      <c r="I88" s="6" t="str">
        <f>IF(ISBLANK(B88),"",INDEX('indices order'!C$2:C$97,G88))</f>
        <v/>
      </c>
      <c r="J88" s="6" t="e">
        <f t="shared" si="15"/>
        <v>#VALUE!</v>
      </c>
      <c r="K88" s="13">
        <v>2</v>
      </c>
      <c r="L88" s="26" t="str">
        <f t="shared" si="10"/>
        <v/>
      </c>
      <c r="M88" s="6" t="str">
        <f t="shared" si="11"/>
        <v/>
      </c>
      <c r="N88" s="13">
        <v>2</v>
      </c>
      <c r="O88" s="26" t="str">
        <f t="shared" si="12"/>
        <v/>
      </c>
      <c r="P88" s="6" t="str">
        <f t="shared" si="13"/>
        <v/>
      </c>
    </row>
    <row r="89" spans="1:16" x14ac:dyDescent="0.25">
      <c r="A89" s="6">
        <v>75</v>
      </c>
      <c r="B89" s="21"/>
      <c r="C89" s="21"/>
      <c r="D89" s="21"/>
      <c r="E89" s="21"/>
      <c r="F89" s="21"/>
      <c r="G89" s="6" t="str">
        <f t="shared" si="14"/>
        <v/>
      </c>
      <c r="H89" s="6" t="str">
        <f>IF(ISBLANK(B89),"",INDEX('indices order'!B$2:B$97,G89))</f>
        <v/>
      </c>
      <c r="I89" s="6" t="str">
        <f>IF(ISBLANK(B89),"",INDEX('indices order'!C$2:C$97,G89))</f>
        <v/>
      </c>
      <c r="J89" s="6" t="e">
        <f t="shared" si="15"/>
        <v>#VALUE!</v>
      </c>
      <c r="K89" s="13">
        <v>3</v>
      </c>
      <c r="L89" s="26" t="str">
        <f t="shared" si="10"/>
        <v/>
      </c>
      <c r="M89" s="6" t="str">
        <f t="shared" si="11"/>
        <v/>
      </c>
      <c r="N89" s="13">
        <v>3</v>
      </c>
      <c r="O89" s="26" t="str">
        <f t="shared" si="12"/>
        <v/>
      </c>
      <c r="P89" s="6" t="str">
        <f t="shared" si="13"/>
        <v/>
      </c>
    </row>
    <row r="90" spans="1:16" x14ac:dyDescent="0.25">
      <c r="A90" s="6">
        <v>76</v>
      </c>
      <c r="B90" s="21"/>
      <c r="C90" s="21"/>
      <c r="D90" s="21"/>
      <c r="E90" s="21"/>
      <c r="F90" s="21"/>
      <c r="G90" s="6" t="str">
        <f t="shared" si="14"/>
        <v/>
      </c>
      <c r="H90" s="6" t="str">
        <f>IF(ISBLANK(B90),"",INDEX('indices order'!B$2:B$97,G90))</f>
        <v/>
      </c>
      <c r="I90" s="6" t="str">
        <f>IF(ISBLANK(B90),"",INDEX('indices order'!C$2:C$97,G90))</f>
        <v/>
      </c>
      <c r="J90" s="6" t="e">
        <f t="shared" si="15"/>
        <v>#VALUE!</v>
      </c>
      <c r="K90" s="13">
        <v>4</v>
      </c>
      <c r="L90" s="26" t="str">
        <f t="shared" si="10"/>
        <v/>
      </c>
      <c r="M90" s="6" t="str">
        <f t="shared" si="11"/>
        <v/>
      </c>
      <c r="N90" s="13">
        <v>4</v>
      </c>
      <c r="O90" s="26" t="str">
        <f t="shared" si="12"/>
        <v/>
      </c>
      <c r="P90" s="6" t="str">
        <f t="shared" si="13"/>
        <v/>
      </c>
    </row>
    <row r="91" spans="1:16" x14ac:dyDescent="0.25">
      <c r="A91" s="6">
        <v>77</v>
      </c>
      <c r="B91" s="21"/>
      <c r="C91" s="21"/>
      <c r="D91" s="21"/>
      <c r="E91" s="21"/>
      <c r="F91" s="21"/>
      <c r="G91" s="6" t="str">
        <f t="shared" si="14"/>
        <v/>
      </c>
      <c r="H91" s="6" t="str">
        <f>IF(ISBLANK(B91),"",INDEX('indices order'!B$2:B$97,G91))</f>
        <v/>
      </c>
      <c r="I91" s="6" t="str">
        <f>IF(ISBLANK(B91),"",INDEX('indices order'!C$2:C$97,G91))</f>
        <v/>
      </c>
      <c r="J91" s="6" t="e">
        <f t="shared" si="15"/>
        <v>#VALUE!</v>
      </c>
      <c r="K91" s="13">
        <v>5</v>
      </c>
      <c r="L91" s="26" t="str">
        <f t="shared" si="10"/>
        <v/>
      </c>
      <c r="M91" s="6" t="str">
        <f t="shared" si="11"/>
        <v/>
      </c>
      <c r="N91" s="13">
        <v>5</v>
      </c>
      <c r="O91" s="26" t="str">
        <f t="shared" si="12"/>
        <v/>
      </c>
      <c r="P91" s="6" t="str">
        <f t="shared" si="13"/>
        <v/>
      </c>
    </row>
    <row r="92" spans="1:16" x14ac:dyDescent="0.25">
      <c r="A92" s="6">
        <v>78</v>
      </c>
      <c r="B92" s="21"/>
      <c r="C92" s="21"/>
      <c r="D92" s="21"/>
      <c r="E92" s="21"/>
      <c r="F92" s="21"/>
      <c r="G92" s="6" t="str">
        <f t="shared" si="14"/>
        <v/>
      </c>
      <c r="H92" s="6" t="str">
        <f>IF(ISBLANK(B92),"",INDEX('indices order'!B$2:B$97,G92))</f>
        <v/>
      </c>
      <c r="I92" s="6" t="str">
        <f>IF(ISBLANK(B92),"",INDEX('indices order'!C$2:C$97,G92))</f>
        <v/>
      </c>
      <c r="J92" s="6" t="e">
        <f t="shared" si="15"/>
        <v>#VALUE!</v>
      </c>
      <c r="K92" s="13">
        <v>6</v>
      </c>
      <c r="L92" s="26" t="str">
        <f t="shared" si="10"/>
        <v/>
      </c>
      <c r="M92" s="6" t="str">
        <f t="shared" si="11"/>
        <v/>
      </c>
      <c r="N92" s="13">
        <v>6</v>
      </c>
      <c r="O92" s="26" t="str">
        <f t="shared" si="12"/>
        <v/>
      </c>
      <c r="P92" s="6" t="str">
        <f t="shared" si="13"/>
        <v/>
      </c>
    </row>
    <row r="93" spans="1:16" x14ac:dyDescent="0.25">
      <c r="A93" s="6">
        <v>79</v>
      </c>
      <c r="B93" s="21"/>
      <c r="C93" s="21"/>
      <c r="D93" s="21"/>
      <c r="E93" s="21"/>
      <c r="F93" s="21"/>
      <c r="G93" s="6" t="str">
        <f t="shared" si="14"/>
        <v/>
      </c>
      <c r="H93" s="6" t="str">
        <f>IF(ISBLANK(B93),"",INDEX('indices order'!B$2:B$97,G93))</f>
        <v/>
      </c>
      <c r="I93" s="6" t="str">
        <f>IF(ISBLANK(B93),"",INDEX('indices order'!C$2:C$97,G93))</f>
        <v/>
      </c>
      <c r="J93" s="6" t="e">
        <f t="shared" si="15"/>
        <v>#VALUE!</v>
      </c>
      <c r="K93" s="13">
        <v>7</v>
      </c>
      <c r="L93" s="26" t="str">
        <f t="shared" si="10"/>
        <v/>
      </c>
      <c r="M93" s="6" t="str">
        <f t="shared" si="11"/>
        <v/>
      </c>
      <c r="N93" s="13">
        <v>7</v>
      </c>
      <c r="O93" s="26" t="str">
        <f t="shared" si="12"/>
        <v/>
      </c>
      <c r="P93" s="6" t="str">
        <f t="shared" si="13"/>
        <v/>
      </c>
    </row>
    <row r="94" spans="1:16" ht="16.5" thickBot="1" x14ac:dyDescent="0.3">
      <c r="A94" s="8">
        <v>80</v>
      </c>
      <c r="B94" s="22"/>
      <c r="C94" s="22"/>
      <c r="D94" s="22"/>
      <c r="E94" s="22"/>
      <c r="F94" s="22"/>
      <c r="G94" s="8" t="str">
        <f t="shared" si="14"/>
        <v/>
      </c>
      <c r="H94" s="8" t="str">
        <f>IF(ISBLANK(B94),"",INDEX('indices order'!B$2:B$97,G94))</f>
        <v/>
      </c>
      <c r="I94" s="8" t="str">
        <f>IF(ISBLANK(B94),"",INDEX('indices order'!C$2:C$97,G94))</f>
        <v/>
      </c>
      <c r="J94" s="8" t="e">
        <f t="shared" si="15"/>
        <v>#VALUE!</v>
      </c>
      <c r="K94" s="19">
        <v>8</v>
      </c>
      <c r="L94" s="27" t="str">
        <f t="shared" si="10"/>
        <v/>
      </c>
      <c r="M94" s="8" t="str">
        <f t="shared" si="11"/>
        <v/>
      </c>
      <c r="N94" s="19">
        <v>8</v>
      </c>
      <c r="O94" s="27" t="str">
        <f t="shared" si="12"/>
        <v/>
      </c>
      <c r="P94" s="8" t="str">
        <f t="shared" si="13"/>
        <v/>
      </c>
    </row>
    <row r="95" spans="1:16" x14ac:dyDescent="0.25">
      <c r="A95" s="6">
        <v>81</v>
      </c>
      <c r="B95" s="21"/>
      <c r="C95" s="21"/>
      <c r="D95" s="21"/>
      <c r="E95" s="21"/>
      <c r="F95" s="21"/>
      <c r="G95" s="6" t="str">
        <f t="shared" si="14"/>
        <v/>
      </c>
      <c r="H95" s="6" t="str">
        <f>IF(ISBLANK(B95),"",INDEX('indices order'!B$2:B$97,G95))</f>
        <v/>
      </c>
      <c r="I95" s="6" t="str">
        <f>IF(ISBLANK(B95),"",INDEX('indices order'!C$2:C$97,G95))</f>
        <v/>
      </c>
      <c r="J95" s="6" t="e">
        <f t="shared" si="15"/>
        <v>#VALUE!</v>
      </c>
      <c r="K95" s="13">
        <v>1</v>
      </c>
      <c r="L95" s="26" t="str">
        <f t="shared" si="10"/>
        <v/>
      </c>
      <c r="M95" s="6" t="str">
        <f t="shared" si="11"/>
        <v/>
      </c>
      <c r="N95" s="13">
        <v>1</v>
      </c>
      <c r="O95" s="26" t="str">
        <f t="shared" si="12"/>
        <v/>
      </c>
      <c r="P95" s="6" t="str">
        <f t="shared" si="13"/>
        <v/>
      </c>
    </row>
    <row r="96" spans="1:16" x14ac:dyDescent="0.25">
      <c r="A96" s="6">
        <v>82</v>
      </c>
      <c r="B96" s="21"/>
      <c r="C96" s="21"/>
      <c r="D96" s="21"/>
      <c r="E96" s="21"/>
      <c r="F96" s="21"/>
      <c r="G96" s="6" t="str">
        <f t="shared" si="14"/>
        <v/>
      </c>
      <c r="H96" s="6" t="str">
        <f>IF(ISBLANK(B96),"",INDEX('indices order'!B$2:B$97,G96))</f>
        <v/>
      </c>
      <c r="I96" s="6" t="str">
        <f>IF(ISBLANK(B96),"",INDEX('indices order'!C$2:C$97,G96))</f>
        <v/>
      </c>
      <c r="J96" s="6" t="e">
        <f t="shared" si="15"/>
        <v>#VALUE!</v>
      </c>
      <c r="K96" s="13">
        <v>2</v>
      </c>
      <c r="L96" s="26" t="str">
        <f t="shared" si="10"/>
        <v/>
      </c>
      <c r="M96" s="6" t="str">
        <f t="shared" si="11"/>
        <v/>
      </c>
      <c r="N96" s="13">
        <v>2</v>
      </c>
      <c r="O96" s="26" t="str">
        <f t="shared" si="12"/>
        <v/>
      </c>
      <c r="P96" s="6" t="str">
        <f t="shared" si="13"/>
        <v/>
      </c>
    </row>
    <row r="97" spans="1:16" x14ac:dyDescent="0.25">
      <c r="A97" s="6">
        <v>83</v>
      </c>
      <c r="B97" s="21"/>
      <c r="C97" s="21"/>
      <c r="D97" s="21"/>
      <c r="E97" s="21"/>
      <c r="F97" s="21"/>
      <c r="G97" s="6" t="str">
        <f t="shared" si="14"/>
        <v/>
      </c>
      <c r="H97" s="6" t="str">
        <f>IF(ISBLANK(B97),"",INDEX('indices order'!B$2:B$97,G97))</f>
        <v/>
      </c>
      <c r="I97" s="6" t="str">
        <f>IF(ISBLANK(B97),"",INDEX('indices order'!C$2:C$97,G97))</f>
        <v/>
      </c>
      <c r="J97" s="6" t="e">
        <f t="shared" si="15"/>
        <v>#VALUE!</v>
      </c>
      <c r="K97" s="13">
        <v>3</v>
      </c>
      <c r="L97" s="26" t="str">
        <f t="shared" si="10"/>
        <v/>
      </c>
      <c r="M97" s="6" t="str">
        <f t="shared" si="11"/>
        <v/>
      </c>
      <c r="N97" s="13">
        <v>3</v>
      </c>
      <c r="O97" s="26" t="str">
        <f t="shared" si="12"/>
        <v/>
      </c>
      <c r="P97" s="6" t="str">
        <f t="shared" si="13"/>
        <v/>
      </c>
    </row>
    <row r="98" spans="1:16" x14ac:dyDescent="0.25">
      <c r="A98" s="6">
        <v>84</v>
      </c>
      <c r="B98" s="21"/>
      <c r="C98" s="21"/>
      <c r="D98" s="21"/>
      <c r="E98" s="21"/>
      <c r="F98" s="21"/>
      <c r="G98" s="6" t="str">
        <f t="shared" si="14"/>
        <v/>
      </c>
      <c r="H98" s="6" t="str">
        <f>IF(ISBLANK(B98),"",INDEX('indices order'!B$2:B$97,G98))</f>
        <v/>
      </c>
      <c r="I98" s="6" t="str">
        <f>IF(ISBLANK(B98),"",INDEX('indices order'!C$2:C$97,G98))</f>
        <v/>
      </c>
      <c r="J98" s="6" t="e">
        <f t="shared" si="15"/>
        <v>#VALUE!</v>
      </c>
      <c r="K98" s="13">
        <v>4</v>
      </c>
      <c r="L98" s="26" t="str">
        <f t="shared" si="10"/>
        <v/>
      </c>
      <c r="M98" s="6" t="str">
        <f t="shared" si="11"/>
        <v/>
      </c>
      <c r="N98" s="13">
        <v>4</v>
      </c>
      <c r="O98" s="26" t="str">
        <f t="shared" si="12"/>
        <v/>
      </c>
      <c r="P98" s="6" t="str">
        <f t="shared" si="13"/>
        <v/>
      </c>
    </row>
    <row r="99" spans="1:16" x14ac:dyDescent="0.25">
      <c r="A99" s="6">
        <v>85</v>
      </c>
      <c r="B99" s="21"/>
      <c r="C99" s="21"/>
      <c r="D99" s="21"/>
      <c r="E99" s="21"/>
      <c r="F99" s="21"/>
      <c r="G99" s="6" t="str">
        <f t="shared" si="14"/>
        <v/>
      </c>
      <c r="H99" s="6" t="str">
        <f>IF(ISBLANK(B99),"",INDEX('indices order'!B$2:B$97,G99))</f>
        <v/>
      </c>
      <c r="I99" s="6" t="str">
        <f>IF(ISBLANK(B99),"",INDEX('indices order'!C$2:C$97,G99))</f>
        <v/>
      </c>
      <c r="J99" s="6" t="e">
        <f t="shared" si="15"/>
        <v>#VALUE!</v>
      </c>
      <c r="K99" s="13">
        <v>5</v>
      </c>
      <c r="L99" s="26" t="str">
        <f t="shared" si="10"/>
        <v/>
      </c>
      <c r="M99" s="6" t="str">
        <f t="shared" si="11"/>
        <v/>
      </c>
      <c r="N99" s="13">
        <v>5</v>
      </c>
      <c r="O99" s="26" t="str">
        <f t="shared" si="12"/>
        <v/>
      </c>
      <c r="P99" s="6" t="str">
        <f t="shared" si="13"/>
        <v/>
      </c>
    </row>
    <row r="100" spans="1:16" x14ac:dyDescent="0.25">
      <c r="A100" s="6">
        <v>86</v>
      </c>
      <c r="B100" s="21"/>
      <c r="C100" s="21"/>
      <c r="D100" s="21"/>
      <c r="E100" s="21"/>
      <c r="F100" s="21"/>
      <c r="G100" s="6" t="str">
        <f t="shared" si="14"/>
        <v/>
      </c>
      <c r="H100" s="6" t="str">
        <f>IF(ISBLANK(B100),"",INDEX('indices order'!B$2:B$97,G100))</f>
        <v/>
      </c>
      <c r="I100" s="6" t="str">
        <f>IF(ISBLANK(B100),"",INDEX('indices order'!C$2:C$97,G100))</f>
        <v/>
      </c>
      <c r="J100" s="6" t="e">
        <f t="shared" si="15"/>
        <v>#VALUE!</v>
      </c>
      <c r="K100" s="13">
        <v>6</v>
      </c>
      <c r="L100" s="26" t="str">
        <f t="shared" si="10"/>
        <v/>
      </c>
      <c r="M100" s="6" t="str">
        <f t="shared" si="11"/>
        <v/>
      </c>
      <c r="N100" s="13">
        <v>6</v>
      </c>
      <c r="O100" s="26" t="str">
        <f t="shared" si="12"/>
        <v/>
      </c>
      <c r="P100" s="6" t="str">
        <f t="shared" si="13"/>
        <v/>
      </c>
    </row>
    <row r="101" spans="1:16" x14ac:dyDescent="0.25">
      <c r="A101" s="6">
        <v>87</v>
      </c>
      <c r="B101" s="21"/>
      <c r="C101" s="21"/>
      <c r="D101" s="21"/>
      <c r="E101" s="21"/>
      <c r="F101" s="21"/>
      <c r="G101" s="6" t="str">
        <f t="shared" si="14"/>
        <v/>
      </c>
      <c r="H101" s="6" t="str">
        <f>IF(ISBLANK(B101),"",INDEX('indices order'!B$2:B$97,G101))</f>
        <v/>
      </c>
      <c r="I101" s="6" t="str">
        <f>IF(ISBLANK(B101),"",INDEX('indices order'!C$2:C$97,G101))</f>
        <v/>
      </c>
      <c r="J101" s="6" t="e">
        <f t="shared" si="15"/>
        <v>#VALUE!</v>
      </c>
      <c r="K101" s="13">
        <v>7</v>
      </c>
      <c r="L101" s="26" t="str">
        <f t="shared" si="10"/>
        <v/>
      </c>
      <c r="M101" s="6" t="str">
        <f t="shared" si="11"/>
        <v/>
      </c>
      <c r="N101" s="13">
        <v>7</v>
      </c>
      <c r="O101" s="26" t="str">
        <f t="shared" si="12"/>
        <v/>
      </c>
      <c r="P101" s="6" t="str">
        <f t="shared" si="13"/>
        <v/>
      </c>
    </row>
    <row r="102" spans="1:16" ht="16.5" thickBot="1" x14ac:dyDescent="0.3">
      <c r="A102" s="8">
        <v>88</v>
      </c>
      <c r="B102" s="22"/>
      <c r="C102" s="22"/>
      <c r="D102" s="22"/>
      <c r="E102" s="22"/>
      <c r="F102" s="22"/>
      <c r="G102" s="8" t="str">
        <f t="shared" si="14"/>
        <v/>
      </c>
      <c r="H102" s="8" t="str">
        <f>IF(ISBLANK(B102),"",INDEX('indices order'!B$2:B$97,G102))</f>
        <v/>
      </c>
      <c r="I102" s="8" t="str">
        <f>IF(ISBLANK(B102),"",INDEX('indices order'!C$2:C$97,G102))</f>
        <v/>
      </c>
      <c r="J102" s="8" t="e">
        <f t="shared" si="15"/>
        <v>#VALUE!</v>
      </c>
      <c r="K102" s="19">
        <v>8</v>
      </c>
      <c r="L102" s="27" t="str">
        <f t="shared" si="10"/>
        <v/>
      </c>
      <c r="M102" s="8" t="str">
        <f t="shared" si="11"/>
        <v/>
      </c>
      <c r="N102" s="19">
        <v>8</v>
      </c>
      <c r="O102" s="27" t="str">
        <f t="shared" si="12"/>
        <v/>
      </c>
      <c r="P102" s="8" t="str">
        <f t="shared" si="13"/>
        <v/>
      </c>
    </row>
    <row r="103" spans="1:16" x14ac:dyDescent="0.25">
      <c r="A103" s="6">
        <v>89</v>
      </c>
      <c r="B103" s="21"/>
      <c r="C103" s="21"/>
      <c r="D103" s="21"/>
      <c r="E103" s="21"/>
      <c r="F103" s="21"/>
      <c r="G103" s="6" t="str">
        <f t="shared" si="14"/>
        <v/>
      </c>
      <c r="H103" s="6" t="str">
        <f>IF(ISBLANK(B103),"",INDEX('indices order'!B$2:B$97,G103))</f>
        <v/>
      </c>
      <c r="I103" s="6" t="str">
        <f>IF(ISBLANK(B103),"",INDEX('indices order'!C$2:C$97,G103))</f>
        <v/>
      </c>
      <c r="J103" s="6" t="e">
        <f t="shared" si="15"/>
        <v>#VALUE!</v>
      </c>
      <c r="K103" s="13">
        <v>1</v>
      </c>
      <c r="L103" s="26" t="str">
        <f t="shared" si="10"/>
        <v/>
      </c>
      <c r="M103" s="6" t="str">
        <f t="shared" si="11"/>
        <v/>
      </c>
      <c r="N103" s="13">
        <v>1</v>
      </c>
      <c r="O103" s="26" t="str">
        <f t="shared" si="12"/>
        <v/>
      </c>
      <c r="P103" s="6" t="str">
        <f t="shared" si="13"/>
        <v/>
      </c>
    </row>
    <row r="104" spans="1:16" x14ac:dyDescent="0.25">
      <c r="A104" s="6">
        <v>90</v>
      </c>
      <c r="B104" s="21"/>
      <c r="C104" s="21"/>
      <c r="D104" s="21"/>
      <c r="E104" s="21"/>
      <c r="F104" s="21"/>
      <c r="G104" s="6" t="str">
        <f t="shared" si="14"/>
        <v/>
      </c>
      <c r="H104" s="6" t="str">
        <f>IF(ISBLANK(B104),"",INDEX('indices order'!B$2:B$97,G104))</f>
        <v/>
      </c>
      <c r="I104" s="6" t="str">
        <f>IF(ISBLANK(B104),"",INDEX('indices order'!C$2:C$97,G104))</f>
        <v/>
      </c>
      <c r="J104" s="6" t="e">
        <f t="shared" si="15"/>
        <v>#VALUE!</v>
      </c>
      <c r="K104" s="13">
        <v>2</v>
      </c>
      <c r="L104" s="26" t="str">
        <f t="shared" si="10"/>
        <v/>
      </c>
      <c r="M104" s="6" t="str">
        <f t="shared" si="11"/>
        <v/>
      </c>
      <c r="N104" s="13">
        <v>2</v>
      </c>
      <c r="O104" s="26" t="str">
        <f t="shared" si="12"/>
        <v/>
      </c>
      <c r="P104" s="6" t="str">
        <f t="shared" si="13"/>
        <v/>
      </c>
    </row>
    <row r="105" spans="1:16" x14ac:dyDescent="0.25">
      <c r="A105" s="6">
        <v>91</v>
      </c>
      <c r="B105" s="21"/>
      <c r="C105" s="21"/>
      <c r="D105" s="21"/>
      <c r="E105" s="21"/>
      <c r="F105" s="21"/>
      <c r="G105" s="6" t="str">
        <f t="shared" si="14"/>
        <v/>
      </c>
      <c r="H105" s="6" t="str">
        <f>IF(ISBLANK(B105),"",INDEX('indices order'!B$2:B$97,G105))</f>
        <v/>
      </c>
      <c r="I105" s="6" t="str">
        <f>IF(ISBLANK(B105),"",INDEX('indices order'!C$2:C$97,G105))</f>
        <v/>
      </c>
      <c r="J105" s="6" t="e">
        <f t="shared" si="15"/>
        <v>#VALUE!</v>
      </c>
      <c r="K105" s="13">
        <v>3</v>
      </c>
      <c r="L105" s="26" t="str">
        <f t="shared" si="10"/>
        <v/>
      </c>
      <c r="M105" s="6" t="str">
        <f t="shared" si="11"/>
        <v/>
      </c>
      <c r="N105" s="13">
        <v>3</v>
      </c>
      <c r="O105" s="26" t="str">
        <f t="shared" si="12"/>
        <v/>
      </c>
      <c r="P105" s="6" t="str">
        <f t="shared" si="13"/>
        <v/>
      </c>
    </row>
    <row r="106" spans="1:16" x14ac:dyDescent="0.25">
      <c r="A106" s="6">
        <v>92</v>
      </c>
      <c r="B106" s="21"/>
      <c r="C106" s="21"/>
      <c r="D106" s="21"/>
      <c r="E106" s="21"/>
      <c r="F106" s="21"/>
      <c r="G106" s="6" t="str">
        <f t="shared" si="14"/>
        <v/>
      </c>
      <c r="H106" s="6" t="str">
        <f>IF(ISBLANK(B106),"",INDEX('indices order'!B$2:B$97,G106))</f>
        <v/>
      </c>
      <c r="I106" s="6" t="str">
        <f>IF(ISBLANK(B106),"",INDEX('indices order'!C$2:C$97,G106))</f>
        <v/>
      </c>
      <c r="J106" s="6" t="e">
        <f t="shared" si="15"/>
        <v>#VALUE!</v>
      </c>
      <c r="K106" s="13">
        <v>4</v>
      </c>
      <c r="L106" s="26" t="str">
        <f t="shared" si="10"/>
        <v/>
      </c>
      <c r="M106" s="6" t="str">
        <f t="shared" si="11"/>
        <v/>
      </c>
      <c r="N106" s="13">
        <v>4</v>
      </c>
      <c r="O106" s="26" t="str">
        <f t="shared" si="12"/>
        <v/>
      </c>
      <c r="P106" s="6" t="str">
        <f t="shared" si="13"/>
        <v/>
      </c>
    </row>
    <row r="107" spans="1:16" x14ac:dyDescent="0.25">
      <c r="A107" s="6">
        <v>93</v>
      </c>
      <c r="B107" s="21"/>
      <c r="C107" s="21"/>
      <c r="D107" s="21"/>
      <c r="E107" s="21"/>
      <c r="F107" s="21"/>
      <c r="G107" s="6" t="str">
        <f t="shared" si="14"/>
        <v/>
      </c>
      <c r="H107" s="6" t="str">
        <f>IF(ISBLANK(B107),"",INDEX('indices order'!B$2:B$97,G107))</f>
        <v/>
      </c>
      <c r="I107" s="6" t="str">
        <f>IF(ISBLANK(B107),"",INDEX('indices order'!C$2:C$97,G107))</f>
        <v/>
      </c>
      <c r="J107" s="6" t="e">
        <f t="shared" si="15"/>
        <v>#VALUE!</v>
      </c>
      <c r="K107" s="13">
        <v>5</v>
      </c>
      <c r="L107" s="26" t="str">
        <f t="shared" si="10"/>
        <v/>
      </c>
      <c r="M107" s="6" t="str">
        <f t="shared" si="11"/>
        <v/>
      </c>
      <c r="N107" s="13">
        <v>5</v>
      </c>
      <c r="O107" s="26" t="str">
        <f t="shared" si="12"/>
        <v/>
      </c>
      <c r="P107" s="6" t="str">
        <f t="shared" si="13"/>
        <v/>
      </c>
    </row>
    <row r="108" spans="1:16" x14ac:dyDescent="0.25">
      <c r="A108" s="6">
        <v>94</v>
      </c>
      <c r="B108" s="21"/>
      <c r="C108" s="21"/>
      <c r="D108" s="21"/>
      <c r="E108" s="21"/>
      <c r="F108" s="21"/>
      <c r="G108" s="6" t="str">
        <f t="shared" si="14"/>
        <v/>
      </c>
      <c r="H108" s="6" t="str">
        <f>IF(ISBLANK(B108),"",INDEX('indices order'!B$2:B$97,G108))</f>
        <v/>
      </c>
      <c r="I108" s="6" t="str">
        <f>IF(ISBLANK(B108),"",INDEX('indices order'!C$2:C$97,G108))</f>
        <v/>
      </c>
      <c r="J108" s="6" t="e">
        <f t="shared" si="15"/>
        <v>#VALUE!</v>
      </c>
      <c r="K108" s="13">
        <v>6</v>
      </c>
      <c r="L108" s="26" t="str">
        <f t="shared" si="10"/>
        <v/>
      </c>
      <c r="M108" s="6" t="str">
        <f t="shared" si="11"/>
        <v/>
      </c>
      <c r="N108" s="13">
        <v>6</v>
      </c>
      <c r="O108" s="26" t="str">
        <f t="shared" si="12"/>
        <v/>
      </c>
      <c r="P108" s="6" t="str">
        <f t="shared" si="13"/>
        <v/>
      </c>
    </row>
    <row r="109" spans="1:16" x14ac:dyDescent="0.25">
      <c r="A109" s="6">
        <v>95</v>
      </c>
      <c r="B109" s="21"/>
      <c r="C109" s="21"/>
      <c r="D109" s="21"/>
      <c r="E109" s="21"/>
      <c r="F109" s="21"/>
      <c r="G109" s="6" t="str">
        <f t="shared" si="14"/>
        <v/>
      </c>
      <c r="H109" s="6" t="str">
        <f>IF(ISBLANK(B109),"",INDEX('indices order'!B$2:B$97,G109))</f>
        <v/>
      </c>
      <c r="I109" s="6" t="str">
        <f>IF(ISBLANK(B109),"",INDEX('indices order'!C$2:C$97,G109))</f>
        <v/>
      </c>
      <c r="J109" s="6" t="e">
        <f t="shared" si="15"/>
        <v>#VALUE!</v>
      </c>
      <c r="K109" s="13">
        <v>7</v>
      </c>
      <c r="L109" s="26" t="str">
        <f t="shared" si="10"/>
        <v/>
      </c>
      <c r="M109" s="6" t="str">
        <f t="shared" si="11"/>
        <v/>
      </c>
      <c r="N109" s="13">
        <v>7</v>
      </c>
      <c r="O109" s="26" t="str">
        <f t="shared" si="12"/>
        <v/>
      </c>
      <c r="P109" s="6" t="str">
        <f t="shared" si="13"/>
        <v/>
      </c>
    </row>
    <row r="110" spans="1:16" ht="16.5" thickBot="1" x14ac:dyDescent="0.3">
      <c r="A110" s="8">
        <v>96</v>
      </c>
      <c r="B110" s="22"/>
      <c r="C110" s="22"/>
      <c r="D110" s="22"/>
      <c r="E110" s="22"/>
      <c r="F110" s="22"/>
      <c r="G110" s="8" t="str">
        <f t="shared" si="14"/>
        <v/>
      </c>
      <c r="H110" s="8" t="str">
        <f>IF(ISBLANK(B110),"",INDEX('indices order'!B$2:B$97,G110))</f>
        <v/>
      </c>
      <c r="I110" s="8" t="str">
        <f>IF(ISBLANK(B110),"",INDEX('indices order'!C$2:C$97,G110))</f>
        <v/>
      </c>
      <c r="J110" s="8" t="e">
        <f t="shared" si="15"/>
        <v>#VALUE!</v>
      </c>
      <c r="K110" s="19">
        <v>8</v>
      </c>
      <c r="L110" s="27" t="str">
        <f t="shared" si="10"/>
        <v/>
      </c>
      <c r="M110" s="8" t="str">
        <f t="shared" si="11"/>
        <v/>
      </c>
      <c r="N110" s="19">
        <v>8</v>
      </c>
      <c r="O110" s="27" t="str">
        <f t="shared" si="12"/>
        <v/>
      </c>
      <c r="P110" s="8" t="str">
        <f t="shared" si="13"/>
        <v/>
      </c>
    </row>
  </sheetData>
  <sheetProtection sheet="1" objects="1" scenarios="1" formatCells="0" formatColumns="0" formatRows="0"/>
  <phoneticPr fontId="2" type="noConversion"/>
  <conditionalFormatting sqref="L15:L110">
    <cfRule type="expression" dxfId="0" priority="1">
      <formula>AND(J15&lt;&gt;1,J15&lt;&gt;-11)</formula>
    </cfRule>
  </conditionalFormatting>
  <dataValidations count="14">
    <dataValidation type="list" allowBlank="1" showInputMessage="1" showErrorMessage="1" errorTitle="I7_Index_ID ungültig" error="Stelle sicher, dass eine gültige I7_Index_ID aus der Dropdown-Liste ausgewählt wurde." sqref="L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C15:C110">
      <formula1>Virus</formula1>
    </dataValidation>
    <dataValidation type="list" allowBlank="1" showInputMessage="1" showErrorMessage="1" errorTitle="Target ungültig" error="Stelle sicher, dass ein Target aus der Dropdown-Liste ausgewählt wurde." sqref="E15:E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D15:D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F15:F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  <dataValidation type="custom" allowBlank="1" showInputMessage="1" showErrorMessage="1" errorTitle="Ungültiges Zeichen" error="Im Sample Name sind nur Zahlen, Buchstaben und Bindestriche erlaubt." sqref="B15:B110">
      <formula1>ISNUMBER(SUMPRODUCT(SEARCH(MID(B15,ROW(INDIRECT("1:"&amp;LEN(B15))),1),"0123456789abcdefghijklmnopqrstuvwxyzABCDEFGHIJKLMNOPQRSTUVWXYZ-")))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4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2</xdr:col>
                    <xdr:colOff>9525</xdr:colOff>
                    <xdr:row>2</xdr:row>
                    <xdr:rowOff>104775</xdr:rowOff>
                  </from>
                  <to>
                    <xdr:col>4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4" t="s">
        <v>68</v>
      </c>
      <c r="B1" s="3" t="s">
        <v>23</v>
      </c>
      <c r="C1" s="3" t="s">
        <v>95</v>
      </c>
    </row>
    <row r="2" spans="1:3" x14ac:dyDescent="0.25">
      <c r="A2" s="5">
        <v>1</v>
      </c>
      <c r="B2" t="s">
        <v>28</v>
      </c>
      <c r="C2" t="s">
        <v>29</v>
      </c>
    </row>
    <row r="3" spans="1:3" x14ac:dyDescent="0.25">
      <c r="A3" s="5">
        <v>2</v>
      </c>
      <c r="B3" t="s">
        <v>31</v>
      </c>
      <c r="C3" t="s">
        <v>32</v>
      </c>
    </row>
    <row r="4" spans="1:3" x14ac:dyDescent="0.25">
      <c r="A4" s="5">
        <v>3</v>
      </c>
      <c r="B4" t="s">
        <v>33</v>
      </c>
      <c r="C4" t="s">
        <v>34</v>
      </c>
    </row>
    <row r="5" spans="1:3" x14ac:dyDescent="0.25">
      <c r="A5" s="5">
        <v>4</v>
      </c>
      <c r="B5" t="s">
        <v>37</v>
      </c>
      <c r="C5" t="s">
        <v>38</v>
      </c>
    </row>
    <row r="6" spans="1:3" x14ac:dyDescent="0.25">
      <c r="A6" s="5">
        <v>5</v>
      </c>
      <c r="B6" t="s">
        <v>39</v>
      </c>
      <c r="C6" t="s">
        <v>40</v>
      </c>
    </row>
    <row r="7" spans="1:3" x14ac:dyDescent="0.25">
      <c r="A7" s="5">
        <v>6</v>
      </c>
      <c r="B7" t="s">
        <v>53</v>
      </c>
      <c r="C7" t="s">
        <v>54</v>
      </c>
    </row>
    <row r="8" spans="1:3" x14ac:dyDescent="0.25">
      <c r="A8" s="5">
        <v>7</v>
      </c>
      <c r="B8" t="s">
        <v>43</v>
      </c>
      <c r="C8" t="s">
        <v>44</v>
      </c>
    </row>
    <row r="9" spans="1:3" x14ac:dyDescent="0.25">
      <c r="A9" s="5">
        <v>8</v>
      </c>
      <c r="B9" t="s">
        <v>55</v>
      </c>
      <c r="C9" t="s">
        <v>56</v>
      </c>
    </row>
    <row r="10" spans="1:3" x14ac:dyDescent="0.25">
      <c r="A10" s="5">
        <v>9</v>
      </c>
      <c r="B10" t="s">
        <v>45</v>
      </c>
      <c r="C10" t="s">
        <v>46</v>
      </c>
    </row>
    <row r="11" spans="1:3" x14ac:dyDescent="0.25">
      <c r="A11" s="5">
        <v>10</v>
      </c>
      <c r="B11" t="s">
        <v>48</v>
      </c>
      <c r="C11" t="s">
        <v>49</v>
      </c>
    </row>
    <row r="12" spans="1:3" x14ac:dyDescent="0.25">
      <c r="A12" s="5">
        <v>11</v>
      </c>
      <c r="B12" t="s">
        <v>50</v>
      </c>
      <c r="C12" t="s">
        <v>57</v>
      </c>
    </row>
    <row r="13" spans="1:3" x14ac:dyDescent="0.25">
      <c r="A13" s="5">
        <v>12</v>
      </c>
      <c r="B13" t="s">
        <v>52</v>
      </c>
      <c r="C13" t="s">
        <v>58</v>
      </c>
    </row>
    <row r="14" spans="1:3" x14ac:dyDescent="0.25">
      <c r="A14" s="4" t="s">
        <v>0</v>
      </c>
      <c r="B14" s="3" t="s">
        <v>25</v>
      </c>
      <c r="C14" s="3" t="s">
        <v>96</v>
      </c>
    </row>
    <row r="15" spans="1:3" x14ac:dyDescent="0.25">
      <c r="A15" s="5">
        <v>1</v>
      </c>
      <c r="B15" t="s">
        <v>47</v>
      </c>
      <c r="C15" t="s">
        <v>59</v>
      </c>
    </row>
    <row r="16" spans="1:3" x14ac:dyDescent="0.25">
      <c r="A16" s="5">
        <v>2</v>
      </c>
      <c r="B16" t="s">
        <v>51</v>
      </c>
      <c r="C16" t="s">
        <v>60</v>
      </c>
    </row>
    <row r="17" spans="1:3" x14ac:dyDescent="0.25">
      <c r="A17" s="5">
        <v>3</v>
      </c>
      <c r="B17" t="s">
        <v>61</v>
      </c>
      <c r="C17" t="s">
        <v>62</v>
      </c>
    </row>
    <row r="18" spans="1:3" x14ac:dyDescent="0.25">
      <c r="A18" s="5">
        <v>4</v>
      </c>
      <c r="B18" t="s">
        <v>63</v>
      </c>
      <c r="C18" t="s">
        <v>64</v>
      </c>
    </row>
    <row r="19" spans="1:3" x14ac:dyDescent="0.25">
      <c r="A19" s="5">
        <v>5</v>
      </c>
      <c r="B19" t="s">
        <v>65</v>
      </c>
      <c r="C19" t="s">
        <v>66</v>
      </c>
    </row>
    <row r="20" spans="1:3" x14ac:dyDescent="0.25">
      <c r="A20" s="5">
        <v>6</v>
      </c>
      <c r="B20" t="s">
        <v>30</v>
      </c>
      <c r="C20" t="s">
        <v>67</v>
      </c>
    </row>
    <row r="21" spans="1:3" x14ac:dyDescent="0.25">
      <c r="A21" s="5">
        <v>7</v>
      </c>
      <c r="B21" t="s">
        <v>35</v>
      </c>
      <c r="C21" t="s">
        <v>36</v>
      </c>
    </row>
    <row r="22" spans="1:3" x14ac:dyDescent="0.25">
      <c r="A22" s="5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84</v>
      </c>
      <c r="B1" s="1" t="s">
        <v>90</v>
      </c>
      <c r="C1" s="1" t="s">
        <v>91</v>
      </c>
      <c r="D1" s="1" t="s">
        <v>92</v>
      </c>
      <c r="E1" s="7" t="s">
        <v>94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Namen'!J$11=D2,A2,"")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Namen'!J$11=D3,A3,"")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Namen'!J$11=D4,A4,"")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Namen'!J$11=D5,A5,"")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Namen'!J$11=D6,A6,"")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Namen'!J$11=D7,A7,"")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Namen'!J$11=D8,A8,"")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Namen'!J$11=D9,A9,"")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Namen'!J$11=D10,A10,"")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Namen'!J$11=D11,A11,"")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Namen'!J$11=D12,A12,"")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Namen'!J$11=D13,A13,"")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Namen'!J$11=D14,A14,"")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Namen'!J$11=D15,A15,"")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Namen'!J$11=D16,A16,"")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Namen'!J$11=D17,A17,"")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Namen'!J$11=D18,A18,"")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Namen'!J$11=D19,A19,"")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Namen'!J$11=D20,A20,"")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Namen'!J$11=D21,A21,"")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Namen'!J$11=D22,A22,"")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Namen'!J$11=D23,A23,"")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Namen'!J$11=D24,A24,"")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Namen'!J$11=D25,A25,"")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Namen'!J$11=D26,A26,"")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Namen'!J$11=D27,A27,"")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Namen'!J$11=D28,A28,"")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Namen'!J$11=D29,A29,"")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Namen'!J$11=D30,A30,"")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Namen'!J$11=D31,A31,"")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Namen'!J$11=D32,A32,"")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Namen'!J$11=D33,A33,"")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Namen'!J$11=D34,A34,"")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Namen'!J$11=D35,A35,"")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Namen'!J$11=D36,A36,"")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Namen'!J$11=D37,A37,"")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Namen'!J$11=D38,A38,"")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Namen'!J$11=D39,A39,"")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Namen'!J$11=D40,A40,"")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Namen'!J$11=D41,A41,"")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Namen'!J$11=D42,A42,"")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Namen'!J$11=D43,A43,"")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Namen'!J$11=D44,A44,"")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Namen'!J$11=D45,A45,"")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Namen'!J$11=D46,A46,"")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Namen'!J$11=D47,A47,"")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Namen'!J$11=D48,A48,"")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Namen'!J$11=D49,A49,"")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Namen'!J$11=D50,A50,"")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Namen'!J$11=D51,A51,"")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Namen'!J$11=D52,A52,"")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Namen'!J$11=D53,A53,"")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Namen'!J$11=D54,A54,"")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Namen'!J$11=D55,A55,"")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Namen'!J$11=D56,A56,"")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Namen'!J$11=D57,A57,"")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Namen'!J$11=D58,A58,"")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Namen'!J$11=D59,A59,"")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Namen'!J$11=D60,A60,"")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Namen'!J$11=D61,A61,"")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Namen'!J$11=D62,A62,"")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Namen'!J$11=D63,A63,"")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Namen'!J$11=D64,A64,"")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Namen'!J$11=D65,A65,"")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Namen'!J$11=D66,A66,"")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Namen'!J$11=D67,A67,"")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Namen'!J$11=D68,A68,"")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Namen'!J$11=D69,A69,"")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Namen'!J$11=D70,A70,"")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Namen'!J$11=D71,A71,"")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Namen'!J$11=D72,A72,"")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Namen'!J$11=D73,A73,"")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Namen'!J$11=D74,A74,"")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Namen'!J$11=D75,A75,"")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Namen'!J$11=D76,A76,"")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Namen'!J$11=D77,A77,"")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Namen'!J$11=D78,A78,"")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Namen'!J$11=D79,A79,"")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Namen'!J$11=D80,A80,"")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Namen'!J$11=D81,A81,"")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Namen'!J$11=D82,A82,"")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Namen'!J$11=D83,A83,"")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Namen'!J$11=D84,A84,"")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Namen'!J$11=D85,A85,"")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Namen'!J$11=D86,A86,"")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Namen'!J$11=D87,A87,"")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Namen'!J$11=D88,A88,"")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Namen'!J$11=D89,A89,"")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Namen'!J$11=D90,A90,"")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Namen'!J$11=D91,A91,"")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Namen'!J$11=D92,A92,"")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Namen'!J$11=D93,A93,"")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Namen'!J$11=D94,A94,"")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Namen'!J$11=D95,A95,"")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Namen'!J$11=D96,A96,"")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Namen'!J$11=D97,A97,"")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12"/>
  <sheetViews>
    <sheetView workbookViewId="0">
      <selection activeCell="D8" sqref="D8"/>
    </sheetView>
  </sheetViews>
  <sheetFormatPr defaultColWidth="11" defaultRowHeight="15.75" x14ac:dyDescent="0.25"/>
  <sheetData>
    <row r="1" spans="1:4" s="3" customFormat="1" x14ac:dyDescent="0.25">
      <c r="A1" s="3" t="s">
        <v>79</v>
      </c>
      <c r="B1" s="3" t="s">
        <v>82</v>
      </c>
      <c r="C1" s="3" t="s">
        <v>80</v>
      </c>
      <c r="D1" s="3" t="s">
        <v>115</v>
      </c>
    </row>
    <row r="2" spans="1:4" x14ac:dyDescent="0.25">
      <c r="A2" t="s">
        <v>78</v>
      </c>
      <c r="B2" t="s">
        <v>83</v>
      </c>
      <c r="C2" t="s">
        <v>99</v>
      </c>
      <c r="D2" t="s">
        <v>117</v>
      </c>
    </row>
    <row r="3" spans="1:4" x14ac:dyDescent="0.25">
      <c r="A3" t="s">
        <v>106</v>
      </c>
      <c r="B3" t="s">
        <v>85</v>
      </c>
      <c r="C3" t="s">
        <v>81</v>
      </c>
      <c r="D3" t="s">
        <v>116</v>
      </c>
    </row>
    <row r="4" spans="1:4" x14ac:dyDescent="0.25">
      <c r="A4" t="s">
        <v>107</v>
      </c>
      <c r="B4" t="s">
        <v>86</v>
      </c>
      <c r="C4" t="s">
        <v>100</v>
      </c>
      <c r="D4" t="s">
        <v>130</v>
      </c>
    </row>
    <row r="5" spans="1:4" x14ac:dyDescent="0.25">
      <c r="A5" t="s">
        <v>125</v>
      </c>
      <c r="B5" t="s">
        <v>133</v>
      </c>
      <c r="C5" t="s">
        <v>101</v>
      </c>
    </row>
    <row r="6" spans="1:4" x14ac:dyDescent="0.25">
      <c r="B6" t="s">
        <v>87</v>
      </c>
      <c r="C6" t="s">
        <v>102</v>
      </c>
    </row>
    <row r="7" spans="1:4" x14ac:dyDescent="0.25">
      <c r="B7" t="s">
        <v>88</v>
      </c>
      <c r="C7" t="s">
        <v>103</v>
      </c>
    </row>
    <row r="8" spans="1:4" x14ac:dyDescent="0.25">
      <c r="B8" t="s">
        <v>89</v>
      </c>
      <c r="C8" t="s">
        <v>104</v>
      </c>
    </row>
    <row r="9" spans="1:4" x14ac:dyDescent="0.25">
      <c r="C9" t="s">
        <v>131</v>
      </c>
    </row>
    <row r="10" spans="1:4" x14ac:dyDescent="0.25">
      <c r="C10" t="s">
        <v>132</v>
      </c>
    </row>
    <row r="11" spans="1:4" x14ac:dyDescent="0.25">
      <c r="C11" t="s">
        <v>124</v>
      </c>
    </row>
    <row r="12" spans="1:4" x14ac:dyDescent="0.25">
      <c r="C12" t="s">
        <v>105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O120"/>
  <sheetViews>
    <sheetView workbookViewId="0"/>
  </sheetViews>
  <sheetFormatPr defaultColWidth="11" defaultRowHeight="15.75" x14ac:dyDescent="0.25"/>
  <cols>
    <col min="1" max="1" width="18" bestFit="1" customWidth="1"/>
    <col min="2" max="2" width="21.125" bestFit="1" customWidth="1"/>
    <col min="3" max="3" width="12.125" bestFit="1" customWidth="1"/>
    <col min="4" max="4" width="11.875" bestFit="1" customWidth="1"/>
    <col min="6" max="6" width="10.375" bestFit="1" customWidth="1"/>
    <col min="8" max="8" width="10.375" bestFit="1" customWidth="1"/>
    <col min="9" max="9" width="13.875" bestFit="1" customWidth="1"/>
    <col min="10" max="10" width="10.375" bestFit="1" customWidth="1"/>
    <col min="14" max="14" width="18.625" bestFit="1" customWidth="1"/>
  </cols>
  <sheetData>
    <row r="1" spans="1:3" x14ac:dyDescent="0.25">
      <c r="A1" t="s">
        <v>1</v>
      </c>
    </row>
    <row r="2" spans="1:3" x14ac:dyDescent="0.25">
      <c r="A2" t="s">
        <v>2</v>
      </c>
      <c r="B2">
        <v>4</v>
      </c>
    </row>
    <row r="3" spans="1:3" x14ac:dyDescent="0.25">
      <c r="A3" t="s">
        <v>126</v>
      </c>
      <c r="B3" s="6" t="str">
        <f>IF(ISBLANK('Sample Namen'!L1),"",'Sample Namen'!L1)</f>
        <v/>
      </c>
    </row>
    <row r="4" spans="1:3" x14ac:dyDescent="0.25">
      <c r="A4" t="s">
        <v>127</v>
      </c>
      <c r="B4" t="str">
        <f>IF(ISBLANK('Sample Namen'!L2),"",'Sample Namen'!L2)</f>
        <v/>
      </c>
    </row>
    <row r="5" spans="1:3" x14ac:dyDescent="0.25">
      <c r="A5" t="s">
        <v>3</v>
      </c>
      <c r="B5" s="20" t="str">
        <f>IF(ISBLANK('Sample Namen'!L3),"",'Sample Namen'!L3)</f>
        <v/>
      </c>
      <c r="C5" s="2"/>
    </row>
    <row r="6" spans="1:3" x14ac:dyDescent="0.25">
      <c r="A6" t="s">
        <v>4</v>
      </c>
      <c r="B6" t="s">
        <v>5</v>
      </c>
    </row>
    <row r="7" spans="1:3" x14ac:dyDescent="0.25">
      <c r="A7" t="s">
        <v>6</v>
      </c>
      <c r="B7" t="s">
        <v>7</v>
      </c>
    </row>
    <row r="8" spans="1:3" x14ac:dyDescent="0.25">
      <c r="A8" t="s">
        <v>8</v>
      </c>
      <c r="B8" t="s">
        <v>9</v>
      </c>
    </row>
    <row r="9" spans="1:3" x14ac:dyDescent="0.25">
      <c r="A9" t="s">
        <v>10</v>
      </c>
      <c r="B9" t="str">
        <f>IF(ISBLANK('Sample Namen'!L4),"",'Sample Namen'!L4)</f>
        <v/>
      </c>
    </row>
    <row r="10" spans="1:3" x14ac:dyDescent="0.25">
      <c r="A10" t="s">
        <v>11</v>
      </c>
      <c r="B10" t="s">
        <v>12</v>
      </c>
    </row>
    <row r="11" spans="1:3" x14ac:dyDescent="0.25">
      <c r="A11" t="s">
        <v>109</v>
      </c>
      <c r="B11" s="6" t="str">
        <f>IF(ISBLANK('Sample Namen'!L5),"",'Sample Namen'!L5)</f>
        <v/>
      </c>
    </row>
    <row r="12" spans="1:3" x14ac:dyDescent="0.25">
      <c r="A12" t="s">
        <v>110</v>
      </c>
      <c r="B12" s="6" t="str">
        <f>IF(ISBLANK('Sample Namen'!L6),"",'Sample Namen'!L6)</f>
        <v/>
      </c>
    </row>
    <row r="13" spans="1:3" x14ac:dyDescent="0.25">
      <c r="A13" t="s">
        <v>111</v>
      </c>
      <c r="B13" s="6" t="str">
        <f>IF(ISBLANK('Sample Namen'!L7),"",'Sample Namen'!L7)</f>
        <v/>
      </c>
    </row>
    <row r="14" spans="1:3" x14ac:dyDescent="0.25">
      <c r="A14" t="s">
        <v>112</v>
      </c>
      <c r="B14" t="s">
        <v>113</v>
      </c>
    </row>
    <row r="16" spans="1:3" x14ac:dyDescent="0.25">
      <c r="A16" t="s">
        <v>13</v>
      </c>
    </row>
    <row r="17" spans="1:15" x14ac:dyDescent="0.25">
      <c r="A17">
        <v>151</v>
      </c>
    </row>
    <row r="19" spans="1:15" x14ac:dyDescent="0.25">
      <c r="A19" t="s">
        <v>14</v>
      </c>
    </row>
    <row r="20" spans="1:15" x14ac:dyDescent="0.25">
      <c r="A20" t="s">
        <v>15</v>
      </c>
      <c r="B20">
        <v>0</v>
      </c>
    </row>
    <row r="21" spans="1:15" x14ac:dyDescent="0.25">
      <c r="A21" t="s">
        <v>16</v>
      </c>
      <c r="B21" t="s">
        <v>17</v>
      </c>
    </row>
    <row r="23" spans="1:15" x14ac:dyDescent="0.25">
      <c r="A23" t="s">
        <v>18</v>
      </c>
    </row>
    <row r="24" spans="1:15" x14ac:dyDescent="0.25">
      <c r="A24" t="s">
        <v>19</v>
      </c>
      <c r="B24" t="s">
        <v>20</v>
      </c>
      <c r="C24" t="s">
        <v>21</v>
      </c>
      <c r="D24" t="s">
        <v>22</v>
      </c>
      <c r="E24" t="s">
        <v>23</v>
      </c>
      <c r="F24" t="s">
        <v>24</v>
      </c>
      <c r="G24" t="s">
        <v>25</v>
      </c>
      <c r="H24" t="s">
        <v>26</v>
      </c>
      <c r="I24" t="s">
        <v>27</v>
      </c>
      <c r="J24" t="s">
        <v>10</v>
      </c>
      <c r="K24" t="s">
        <v>72</v>
      </c>
      <c r="L24" t="s">
        <v>74</v>
      </c>
      <c r="M24" t="s">
        <v>73</v>
      </c>
      <c r="N24" t="s">
        <v>98</v>
      </c>
      <c r="O24" t="s">
        <v>114</v>
      </c>
    </row>
    <row r="25" spans="1:15" x14ac:dyDescent="0.25">
      <c r="A25" s="6" t="str">
        <f>IF(ISBLANK('Sample Namen'!B15),"",1)</f>
        <v/>
      </c>
      <c r="B25" t="str">
        <f>IF(ISBLANK('Sample Namen'!B15),"",'Sample Namen'!B15)</f>
        <v/>
      </c>
      <c r="E25" s="6" t="str">
        <f>IF(ISBLANK('Sample Namen'!L15),"",'Sample Namen'!L15)</f>
        <v/>
      </c>
      <c r="F25" s="6" t="str">
        <f>IF(ISBLANK('Sample Namen'!M15),"",'Sample Namen'!M15)</f>
        <v/>
      </c>
      <c r="G25" s="6" t="str">
        <f>IF(ISBLANK('Sample Namen'!O15),"",'Sample Namen'!O15)</f>
        <v/>
      </c>
      <c r="H25" s="6" t="str">
        <f>IF(ISBLANK('Sample Namen'!P15),"",'Sample Namen'!P15)</f>
        <v/>
      </c>
      <c r="I25" s="6" t="str">
        <f>IF(ISBLANK('Sample Namen'!B15),"","Resistance")</f>
        <v/>
      </c>
      <c r="K25" s="6" t="str">
        <f>IF(ISBLANK('Sample Namen'!C15),"",'Sample Namen'!C15)</f>
        <v/>
      </c>
      <c r="L25" s="6" t="str">
        <f>IF(ISBLANK('Sample Namen'!D15),"",'Sample Namen'!D15)</f>
        <v/>
      </c>
      <c r="M25" s="6" t="str">
        <f>IF(ISBLANK('Sample Namen'!E15),"",'Sample Namen'!E15)</f>
        <v/>
      </c>
      <c r="N25" t="str">
        <f>IF(ISBLANK('Sample Namen'!F15),"",'Sample Namen'!F15)</f>
        <v/>
      </c>
      <c r="O25" s="6" t="str">
        <f>IF(ISBLANK('Sample Namen'!B15),"","n")</f>
        <v/>
      </c>
    </row>
    <row r="26" spans="1:15" x14ac:dyDescent="0.25">
      <c r="A26" s="6" t="str">
        <f>IF(ISBLANK('Sample Namen'!B16),"",'MiSeq SampleSheet'!A25+1)</f>
        <v/>
      </c>
      <c r="B26" t="str">
        <f>IF(ISBLANK('Sample Namen'!B16),"",'Sample Namen'!B16)</f>
        <v/>
      </c>
      <c r="E26" s="6" t="str">
        <f>IF(ISBLANK('Sample Namen'!L16),"",'Sample Namen'!L16)</f>
        <v/>
      </c>
      <c r="F26" s="6" t="str">
        <f>IF(ISBLANK('Sample Namen'!M16),"",'Sample Namen'!M16)</f>
        <v/>
      </c>
      <c r="G26" s="6" t="str">
        <f>IF(ISBLANK('Sample Namen'!O16),"",'Sample Namen'!O16)</f>
        <v/>
      </c>
      <c r="H26" s="6" t="str">
        <f>IF(ISBLANK('Sample Namen'!P16),"",'Sample Namen'!P16)</f>
        <v/>
      </c>
      <c r="I26" s="6" t="str">
        <f>IF(ISBLANK('Sample Namen'!B16),"","Resistance")</f>
        <v/>
      </c>
      <c r="K26" s="6" t="str">
        <f>IF(ISBLANK('Sample Namen'!C16),"",'Sample Namen'!C16)</f>
        <v/>
      </c>
      <c r="L26" s="6" t="str">
        <f>IF(ISBLANK('Sample Namen'!D16),"",'Sample Namen'!D16)</f>
        <v/>
      </c>
      <c r="M26" s="6" t="str">
        <f>IF(ISBLANK('Sample Namen'!E16),"",'Sample Namen'!E16)</f>
        <v/>
      </c>
      <c r="N26" t="str">
        <f>IF(ISBLANK('Sample Namen'!F16),"",'Sample Namen'!F16)</f>
        <v/>
      </c>
      <c r="O26" s="6" t="str">
        <f>IF(ISBLANK('Sample Namen'!B16),"","n")</f>
        <v/>
      </c>
    </row>
    <row r="27" spans="1:15" x14ac:dyDescent="0.25">
      <c r="A27" s="6" t="str">
        <f>IF(ISBLANK('Sample Namen'!B17),"",'MiSeq SampleSheet'!A26+1)</f>
        <v/>
      </c>
      <c r="B27" t="str">
        <f>IF(ISBLANK('Sample Namen'!B17),"",'Sample Namen'!B17)</f>
        <v/>
      </c>
      <c r="E27" s="6" t="str">
        <f>IF(ISBLANK('Sample Namen'!L17),"",'Sample Namen'!L17)</f>
        <v/>
      </c>
      <c r="F27" s="6" t="str">
        <f>IF(ISBLANK('Sample Namen'!M17),"",'Sample Namen'!M17)</f>
        <v/>
      </c>
      <c r="G27" s="6" t="str">
        <f>IF(ISBLANK('Sample Namen'!O17),"",'Sample Namen'!O17)</f>
        <v/>
      </c>
      <c r="H27" s="6" t="str">
        <f>IF(ISBLANK('Sample Namen'!P17),"",'Sample Namen'!P17)</f>
        <v/>
      </c>
      <c r="I27" s="6" t="str">
        <f>IF(ISBLANK('Sample Namen'!B17),"","Resistance")</f>
        <v/>
      </c>
      <c r="K27" s="6" t="str">
        <f>IF(ISBLANK('Sample Namen'!C17),"",'Sample Namen'!C17)</f>
        <v/>
      </c>
      <c r="L27" s="6" t="str">
        <f>IF(ISBLANK('Sample Namen'!D17),"",'Sample Namen'!D17)</f>
        <v/>
      </c>
      <c r="M27" s="6" t="str">
        <f>IF(ISBLANK('Sample Namen'!E17),"",'Sample Namen'!E17)</f>
        <v/>
      </c>
      <c r="N27" t="str">
        <f>IF(ISBLANK('Sample Namen'!F17),"",'Sample Namen'!F17)</f>
        <v/>
      </c>
      <c r="O27" s="6" t="str">
        <f>IF(ISBLANK('Sample Namen'!B17),"","n")</f>
        <v/>
      </c>
    </row>
    <row r="28" spans="1:15" x14ac:dyDescent="0.25">
      <c r="A28" t="str">
        <f>IF(ISBLANK('Sample Namen'!B18),"",'MiSeq SampleSheet'!A27+1)</f>
        <v/>
      </c>
      <c r="B28" t="str">
        <f>IF(ISBLANK('Sample Namen'!B18),"",'Sample Namen'!B18)</f>
        <v/>
      </c>
      <c r="E28" t="str">
        <f>IF(ISBLANK('Sample Namen'!L18),"",'Sample Namen'!L18)</f>
        <v/>
      </c>
      <c r="F28" t="str">
        <f>IF(ISBLANK('Sample Namen'!M18),"",'Sample Namen'!M18)</f>
        <v/>
      </c>
      <c r="G28" t="str">
        <f>IF(ISBLANK('Sample Namen'!O18),"",'Sample Namen'!O18)</f>
        <v/>
      </c>
      <c r="H28" t="str">
        <f>IF(ISBLANK('Sample Namen'!P18),"",'Sample Namen'!P18)</f>
        <v/>
      </c>
      <c r="I28" t="str">
        <f>IF(ISBLANK('Sample Namen'!B18),"","Resistance")</f>
        <v/>
      </c>
      <c r="K28" s="6" t="str">
        <f>IF(ISBLANK('Sample Namen'!C18),"",'Sample Namen'!C18)</f>
        <v/>
      </c>
      <c r="L28" t="str">
        <f>IF(ISBLANK('Sample Namen'!D18),"",'Sample Namen'!D18)</f>
        <v/>
      </c>
      <c r="M28" t="str">
        <f>IF(ISBLANK('Sample Namen'!E18),"",'Sample Namen'!E18)</f>
        <v/>
      </c>
      <c r="N28" t="str">
        <f>IF(ISBLANK('Sample Namen'!F18),"",'Sample Namen'!F18)</f>
        <v/>
      </c>
      <c r="O28" t="str">
        <f>IF(ISBLANK('Sample Namen'!B18),"","n")</f>
        <v/>
      </c>
    </row>
    <row r="29" spans="1:15" x14ac:dyDescent="0.25">
      <c r="A29" t="str">
        <f>IF(ISBLANK('Sample Namen'!B19),"",'MiSeq SampleSheet'!A28+1)</f>
        <v/>
      </c>
      <c r="B29" t="str">
        <f>IF(ISBLANK('Sample Namen'!B19),"",'Sample Namen'!B19)</f>
        <v/>
      </c>
      <c r="E29" t="str">
        <f>IF(ISBLANK('Sample Namen'!L19),"",'Sample Namen'!L19)</f>
        <v/>
      </c>
      <c r="F29" t="str">
        <f>IF(ISBLANK('Sample Namen'!M19),"",'Sample Namen'!M19)</f>
        <v/>
      </c>
      <c r="G29" t="str">
        <f>IF(ISBLANK('Sample Namen'!O19),"",'Sample Namen'!O19)</f>
        <v/>
      </c>
      <c r="H29" t="str">
        <f>IF(ISBLANK('Sample Namen'!P19),"",'Sample Namen'!P19)</f>
        <v/>
      </c>
      <c r="I29" t="str">
        <f>IF(ISBLANK('Sample Namen'!B19),"","Resistance")</f>
        <v/>
      </c>
      <c r="K29" s="6" t="str">
        <f>IF(ISBLANK('Sample Namen'!C19),"",'Sample Namen'!C19)</f>
        <v/>
      </c>
      <c r="L29" t="str">
        <f>IF(ISBLANK('Sample Namen'!D19),"",'Sample Namen'!D19)</f>
        <v/>
      </c>
      <c r="M29" t="str">
        <f>IF(ISBLANK('Sample Namen'!E19),"",'Sample Namen'!E19)</f>
        <v/>
      </c>
      <c r="N29" t="str">
        <f>IF(ISBLANK('Sample Namen'!F19),"",'Sample Namen'!F19)</f>
        <v/>
      </c>
      <c r="O29" t="str">
        <f>IF(ISBLANK('Sample Namen'!B19),"","n")</f>
        <v/>
      </c>
    </row>
    <row r="30" spans="1:15" x14ac:dyDescent="0.25">
      <c r="A30" t="str">
        <f>IF(ISBLANK('Sample Namen'!B20),"",'MiSeq SampleSheet'!A29+1)</f>
        <v/>
      </c>
      <c r="B30" t="str">
        <f>IF(ISBLANK('Sample Namen'!B20),"",'Sample Namen'!B20)</f>
        <v/>
      </c>
      <c r="E30" t="str">
        <f>IF(ISBLANK('Sample Namen'!L20),"",'Sample Namen'!L20)</f>
        <v/>
      </c>
      <c r="F30" t="str">
        <f>IF(ISBLANK('Sample Namen'!M20),"",'Sample Namen'!M20)</f>
        <v/>
      </c>
      <c r="G30" t="str">
        <f>IF(ISBLANK('Sample Namen'!O20),"",'Sample Namen'!O20)</f>
        <v/>
      </c>
      <c r="H30" t="str">
        <f>IF(ISBLANK('Sample Namen'!P20),"",'Sample Namen'!P20)</f>
        <v/>
      </c>
      <c r="I30" t="str">
        <f>IF(ISBLANK('Sample Namen'!B20),"","Resistance")</f>
        <v/>
      </c>
      <c r="K30" s="6" t="str">
        <f>IF(ISBLANK('Sample Namen'!C20),"",'Sample Namen'!C20)</f>
        <v/>
      </c>
      <c r="L30" t="str">
        <f>IF(ISBLANK('Sample Namen'!D20),"",'Sample Namen'!D20)</f>
        <v/>
      </c>
      <c r="M30" t="str">
        <f>IF(ISBLANK('Sample Namen'!E20),"",'Sample Namen'!E20)</f>
        <v/>
      </c>
      <c r="N30" t="str">
        <f>IF(ISBLANK('Sample Namen'!F20),"",'Sample Namen'!F20)</f>
        <v/>
      </c>
      <c r="O30" t="str">
        <f>IF(ISBLANK('Sample Namen'!B20),"","n")</f>
        <v/>
      </c>
    </row>
    <row r="31" spans="1:15" x14ac:dyDescent="0.25">
      <c r="A31" t="str">
        <f>IF(ISBLANK('Sample Namen'!B21),"",'MiSeq SampleSheet'!A30+1)</f>
        <v/>
      </c>
      <c r="B31" t="str">
        <f>IF(ISBLANK('Sample Namen'!B21),"",'Sample Namen'!B21)</f>
        <v/>
      </c>
      <c r="E31" t="str">
        <f>IF(ISBLANK('Sample Namen'!L21),"",'Sample Namen'!L21)</f>
        <v/>
      </c>
      <c r="F31" t="str">
        <f>IF(ISBLANK('Sample Namen'!M21),"",'Sample Namen'!M21)</f>
        <v/>
      </c>
      <c r="G31" t="str">
        <f>IF(ISBLANK('Sample Namen'!O21),"",'Sample Namen'!O21)</f>
        <v/>
      </c>
      <c r="H31" t="str">
        <f>IF(ISBLANK('Sample Namen'!P21),"",'Sample Namen'!P21)</f>
        <v/>
      </c>
      <c r="I31" t="str">
        <f>IF(ISBLANK('Sample Namen'!B21),"","Resistance")</f>
        <v/>
      </c>
      <c r="K31" t="str">
        <f>IF(ISBLANK('Sample Namen'!C21),"",'Sample Namen'!C21)</f>
        <v/>
      </c>
      <c r="L31" t="str">
        <f>IF(ISBLANK('Sample Namen'!D21),"",'Sample Namen'!D21)</f>
        <v/>
      </c>
      <c r="M31" t="str">
        <f>IF(ISBLANK('Sample Namen'!E21),"",'Sample Namen'!E21)</f>
        <v/>
      </c>
      <c r="N31" t="str">
        <f>IF(ISBLANK('Sample Namen'!F21),"",'Sample Namen'!F21)</f>
        <v/>
      </c>
      <c r="O31" t="str">
        <f>IF(ISBLANK('Sample Namen'!B21),"","n")</f>
        <v/>
      </c>
    </row>
    <row r="32" spans="1:15" x14ac:dyDescent="0.25">
      <c r="A32" t="str">
        <f>IF(ISBLANK('Sample Namen'!B22),"",'MiSeq SampleSheet'!A31+1)</f>
        <v/>
      </c>
      <c r="B32" t="str">
        <f>IF(ISBLANK('Sample Namen'!B22),"",'Sample Namen'!B22)</f>
        <v/>
      </c>
      <c r="E32" t="str">
        <f>IF(ISBLANK('Sample Namen'!L22),"",'Sample Namen'!L22)</f>
        <v/>
      </c>
      <c r="F32" t="str">
        <f>IF(ISBLANK('Sample Namen'!M22),"",'Sample Namen'!M22)</f>
        <v/>
      </c>
      <c r="G32" t="str">
        <f>IF(ISBLANK('Sample Namen'!O22),"",'Sample Namen'!O22)</f>
        <v/>
      </c>
      <c r="H32" t="str">
        <f>IF(ISBLANK('Sample Namen'!P22),"",'Sample Namen'!P22)</f>
        <v/>
      </c>
      <c r="I32" t="str">
        <f>IF(ISBLANK('Sample Namen'!B22),"","Resistance")</f>
        <v/>
      </c>
      <c r="K32" t="str">
        <f>IF(ISBLANK('Sample Namen'!C22),"",'Sample Namen'!C22)</f>
        <v/>
      </c>
      <c r="L32" t="str">
        <f>IF(ISBLANK('Sample Namen'!D22),"",'Sample Namen'!D22)</f>
        <v/>
      </c>
      <c r="M32" t="str">
        <f>IF(ISBLANK('Sample Namen'!E22),"",'Sample Namen'!E22)</f>
        <v/>
      </c>
      <c r="N32" t="str">
        <f>IF(ISBLANK('Sample Namen'!F22),"",'Sample Namen'!F22)</f>
        <v/>
      </c>
      <c r="O32" t="str">
        <f>IF(ISBLANK('Sample Namen'!B22),"","n")</f>
        <v/>
      </c>
    </row>
    <row r="33" spans="1:15" x14ac:dyDescent="0.25">
      <c r="A33" t="str">
        <f>IF(ISBLANK('Sample Namen'!B23),"",'MiSeq SampleSheet'!A32+1)</f>
        <v/>
      </c>
      <c r="B33" t="str">
        <f>IF(ISBLANK('Sample Namen'!B23),"",'Sample Namen'!B23)</f>
        <v/>
      </c>
      <c r="E33" t="str">
        <f>IF(ISBLANK('Sample Namen'!L23),"",'Sample Namen'!L23)</f>
        <v/>
      </c>
      <c r="F33" t="str">
        <f>IF(ISBLANK('Sample Namen'!M23),"",'Sample Namen'!M23)</f>
        <v/>
      </c>
      <c r="G33" t="str">
        <f>IF(ISBLANK('Sample Namen'!O23),"",'Sample Namen'!O23)</f>
        <v/>
      </c>
      <c r="H33" t="str">
        <f>IF(ISBLANK('Sample Namen'!P23),"",'Sample Namen'!P23)</f>
        <v/>
      </c>
      <c r="I33" t="str">
        <f>IF(ISBLANK('Sample Namen'!B23),"","Resistance")</f>
        <v/>
      </c>
      <c r="K33" t="str">
        <f>IF(ISBLANK('Sample Namen'!C23),"",'Sample Namen'!C23)</f>
        <v/>
      </c>
      <c r="L33" t="str">
        <f>IF(ISBLANK('Sample Namen'!D23),"",'Sample Namen'!D23)</f>
        <v/>
      </c>
      <c r="M33" t="str">
        <f>IF(ISBLANK('Sample Namen'!E23),"",'Sample Namen'!E23)</f>
        <v/>
      </c>
      <c r="N33" t="str">
        <f>IF(ISBLANK('Sample Namen'!F23),"",'Sample Namen'!F23)</f>
        <v/>
      </c>
      <c r="O33" t="str">
        <f>IF(ISBLANK('Sample Namen'!B23),"","n")</f>
        <v/>
      </c>
    </row>
    <row r="34" spans="1:15" x14ac:dyDescent="0.25">
      <c r="A34" t="str">
        <f>IF(ISBLANK('Sample Namen'!B24),"",'MiSeq SampleSheet'!A33+1)</f>
        <v/>
      </c>
      <c r="B34" t="str">
        <f>IF(ISBLANK('Sample Namen'!B24),"",'Sample Namen'!B24)</f>
        <v/>
      </c>
      <c r="E34" t="str">
        <f>IF(ISBLANK('Sample Namen'!L24),"",'Sample Namen'!L24)</f>
        <v/>
      </c>
      <c r="F34" t="str">
        <f>IF(ISBLANK('Sample Namen'!M24),"",'Sample Namen'!M24)</f>
        <v/>
      </c>
      <c r="G34" t="str">
        <f>IF(ISBLANK('Sample Namen'!O24),"",'Sample Namen'!O24)</f>
        <v/>
      </c>
      <c r="H34" t="str">
        <f>IF(ISBLANK('Sample Namen'!P24),"",'Sample Namen'!P24)</f>
        <v/>
      </c>
      <c r="I34" t="str">
        <f>IF(ISBLANK('Sample Namen'!B24),"","Resistance")</f>
        <v/>
      </c>
      <c r="K34" t="str">
        <f>IF(ISBLANK('Sample Namen'!C24),"",'Sample Namen'!C24)</f>
        <v/>
      </c>
      <c r="L34" t="str">
        <f>IF(ISBLANK('Sample Namen'!D24),"",'Sample Namen'!D24)</f>
        <v/>
      </c>
      <c r="M34" t="str">
        <f>IF(ISBLANK('Sample Namen'!E24),"",'Sample Namen'!E24)</f>
        <v/>
      </c>
      <c r="N34" t="str">
        <f>IF(ISBLANK('Sample Namen'!F24),"",'Sample Namen'!F24)</f>
        <v/>
      </c>
      <c r="O34" t="str">
        <f>IF(ISBLANK('Sample Namen'!B24),"","n")</f>
        <v/>
      </c>
    </row>
    <row r="35" spans="1:15" x14ac:dyDescent="0.25">
      <c r="A35" t="str">
        <f>IF(ISBLANK('Sample Namen'!B25),"",'MiSeq SampleSheet'!A34+1)</f>
        <v/>
      </c>
      <c r="B35" t="str">
        <f>IF(ISBLANK('Sample Namen'!B25),"",'Sample Namen'!B25)</f>
        <v/>
      </c>
      <c r="E35" t="str">
        <f>IF(ISBLANK('Sample Namen'!L25),"",'Sample Namen'!L25)</f>
        <v/>
      </c>
      <c r="F35" t="str">
        <f>IF(ISBLANK('Sample Namen'!M25),"",'Sample Namen'!M25)</f>
        <v/>
      </c>
      <c r="G35" t="str">
        <f>IF(ISBLANK('Sample Namen'!O25),"",'Sample Namen'!O25)</f>
        <v/>
      </c>
      <c r="H35" t="str">
        <f>IF(ISBLANK('Sample Namen'!P25),"",'Sample Namen'!P25)</f>
        <v/>
      </c>
      <c r="I35" t="str">
        <f>IF(ISBLANK('Sample Namen'!B25),"","Resistance")</f>
        <v/>
      </c>
      <c r="K35" t="str">
        <f>IF(ISBLANK('Sample Namen'!C25),"",'Sample Namen'!C25)</f>
        <v/>
      </c>
      <c r="L35" t="str">
        <f>IF(ISBLANK('Sample Namen'!D25),"",'Sample Namen'!D25)</f>
        <v/>
      </c>
      <c r="M35" t="str">
        <f>IF(ISBLANK('Sample Namen'!E25),"",'Sample Namen'!E25)</f>
        <v/>
      </c>
      <c r="N35" t="str">
        <f>IF(ISBLANK('Sample Namen'!F25),"",'Sample Namen'!F25)</f>
        <v/>
      </c>
      <c r="O35" t="str">
        <f>IF(ISBLANK('Sample Namen'!B25),"","n")</f>
        <v/>
      </c>
    </row>
    <row r="36" spans="1:15" x14ac:dyDescent="0.25">
      <c r="A36" t="str">
        <f>IF(ISBLANK('Sample Namen'!B26),"",'MiSeq SampleSheet'!A35+1)</f>
        <v/>
      </c>
      <c r="B36" t="str">
        <f>IF(ISBLANK('Sample Namen'!B26),"",'Sample Namen'!B26)</f>
        <v/>
      </c>
      <c r="E36" t="str">
        <f>IF(ISBLANK('Sample Namen'!L26),"",'Sample Namen'!L26)</f>
        <v/>
      </c>
      <c r="F36" t="str">
        <f>IF(ISBLANK('Sample Namen'!M26),"",'Sample Namen'!M26)</f>
        <v/>
      </c>
      <c r="G36" t="str">
        <f>IF(ISBLANK('Sample Namen'!O26),"",'Sample Namen'!O26)</f>
        <v/>
      </c>
      <c r="H36" t="str">
        <f>IF(ISBLANK('Sample Namen'!P26),"",'Sample Namen'!P26)</f>
        <v/>
      </c>
      <c r="I36" t="str">
        <f>IF(ISBLANK('Sample Namen'!B26),"","Resistance")</f>
        <v/>
      </c>
      <c r="K36" t="str">
        <f>IF(ISBLANK('Sample Namen'!C26),"",'Sample Namen'!C26)</f>
        <v/>
      </c>
      <c r="L36" t="str">
        <f>IF(ISBLANK('Sample Namen'!D26),"",'Sample Namen'!D26)</f>
        <v/>
      </c>
      <c r="M36" t="str">
        <f>IF(ISBLANK('Sample Namen'!E26),"",'Sample Namen'!E26)</f>
        <v/>
      </c>
      <c r="N36" t="str">
        <f>IF(ISBLANK('Sample Namen'!F26),"",'Sample Namen'!F26)</f>
        <v/>
      </c>
      <c r="O36" t="str">
        <f>IF(ISBLANK('Sample Namen'!B26),"","n")</f>
        <v/>
      </c>
    </row>
    <row r="37" spans="1:15" x14ac:dyDescent="0.25">
      <c r="A37" t="str">
        <f>IF(ISBLANK('Sample Namen'!B27),"",'MiSeq SampleSheet'!A36+1)</f>
        <v/>
      </c>
      <c r="B37" t="str">
        <f>IF(ISBLANK('Sample Namen'!B27),"",'Sample Namen'!B27)</f>
        <v/>
      </c>
      <c r="E37" t="str">
        <f>IF(ISBLANK('Sample Namen'!L27),"",'Sample Namen'!L27)</f>
        <v/>
      </c>
      <c r="F37" t="str">
        <f>IF(ISBLANK('Sample Namen'!M27),"",'Sample Namen'!M27)</f>
        <v/>
      </c>
      <c r="G37" t="str">
        <f>IF(ISBLANK('Sample Namen'!O27),"",'Sample Namen'!O27)</f>
        <v/>
      </c>
      <c r="H37" t="str">
        <f>IF(ISBLANK('Sample Namen'!P27),"",'Sample Namen'!P27)</f>
        <v/>
      </c>
      <c r="I37" t="str">
        <f>IF(ISBLANK('Sample Namen'!B27),"","Resistance")</f>
        <v/>
      </c>
      <c r="K37" t="str">
        <f>IF(ISBLANK('Sample Namen'!C27),"",'Sample Namen'!C27)</f>
        <v/>
      </c>
      <c r="L37" t="str">
        <f>IF(ISBLANK('Sample Namen'!D27),"",'Sample Namen'!D27)</f>
        <v/>
      </c>
      <c r="M37" t="str">
        <f>IF(ISBLANK('Sample Namen'!E27),"",'Sample Namen'!E27)</f>
        <v/>
      </c>
      <c r="N37" t="str">
        <f>IF(ISBLANK('Sample Namen'!F27),"",'Sample Namen'!F27)</f>
        <v/>
      </c>
      <c r="O37" t="str">
        <f>IF(ISBLANK('Sample Namen'!B27),"","n")</f>
        <v/>
      </c>
    </row>
    <row r="38" spans="1:15" x14ac:dyDescent="0.25">
      <c r="A38" t="str">
        <f>IF(ISBLANK('Sample Namen'!B28),"",'MiSeq SampleSheet'!A37+1)</f>
        <v/>
      </c>
      <c r="B38" t="str">
        <f>IF(ISBLANK('Sample Namen'!B28),"",'Sample Namen'!B28)</f>
        <v/>
      </c>
      <c r="E38" t="str">
        <f>IF(ISBLANK('Sample Namen'!L28),"",'Sample Namen'!L28)</f>
        <v/>
      </c>
      <c r="F38" t="str">
        <f>IF(ISBLANK('Sample Namen'!M28),"",'Sample Namen'!M28)</f>
        <v/>
      </c>
      <c r="G38" t="str">
        <f>IF(ISBLANK('Sample Namen'!O28),"",'Sample Namen'!O28)</f>
        <v/>
      </c>
      <c r="H38" t="str">
        <f>IF(ISBLANK('Sample Namen'!P28),"",'Sample Namen'!P28)</f>
        <v/>
      </c>
      <c r="I38" t="str">
        <f>IF(ISBLANK('Sample Namen'!B28),"","Resistance")</f>
        <v/>
      </c>
      <c r="K38" t="str">
        <f>IF(ISBLANK('Sample Namen'!C28),"",'Sample Namen'!C28)</f>
        <v/>
      </c>
      <c r="L38" t="str">
        <f>IF(ISBLANK('Sample Namen'!D28),"",'Sample Namen'!D28)</f>
        <v/>
      </c>
      <c r="M38" t="str">
        <f>IF(ISBLANK('Sample Namen'!E28),"",'Sample Namen'!E28)</f>
        <v/>
      </c>
      <c r="N38" t="str">
        <f>IF(ISBLANK('Sample Namen'!F28),"",'Sample Namen'!F28)</f>
        <v/>
      </c>
      <c r="O38" t="str">
        <f>IF(ISBLANK('Sample Namen'!B28),"","n")</f>
        <v/>
      </c>
    </row>
    <row r="39" spans="1:15" x14ac:dyDescent="0.25">
      <c r="A39" t="str">
        <f>IF(ISBLANK('Sample Namen'!B29),"",'MiSeq SampleSheet'!A38+1)</f>
        <v/>
      </c>
      <c r="B39" t="str">
        <f>IF(ISBLANK('Sample Namen'!B29),"",'Sample Namen'!B29)</f>
        <v/>
      </c>
      <c r="E39" t="str">
        <f>IF(ISBLANK('Sample Namen'!L29),"",'Sample Namen'!L29)</f>
        <v/>
      </c>
      <c r="F39" t="str">
        <f>IF(ISBLANK('Sample Namen'!M29),"",'Sample Namen'!M29)</f>
        <v/>
      </c>
      <c r="G39" t="str">
        <f>IF(ISBLANK('Sample Namen'!O29),"",'Sample Namen'!O29)</f>
        <v/>
      </c>
      <c r="H39" t="str">
        <f>IF(ISBLANK('Sample Namen'!P29),"",'Sample Namen'!P29)</f>
        <v/>
      </c>
      <c r="I39" t="str">
        <f>IF(ISBLANK('Sample Namen'!B29),"","Resistance")</f>
        <v/>
      </c>
      <c r="K39" t="str">
        <f>IF(ISBLANK('Sample Namen'!C29),"",'Sample Namen'!C29)</f>
        <v/>
      </c>
      <c r="L39" t="str">
        <f>IF(ISBLANK('Sample Namen'!D29),"",'Sample Namen'!D29)</f>
        <v/>
      </c>
      <c r="M39" t="str">
        <f>IF(ISBLANK('Sample Namen'!E29),"",'Sample Namen'!E29)</f>
        <v/>
      </c>
      <c r="N39" t="str">
        <f>IF(ISBLANK('Sample Namen'!F29),"",'Sample Namen'!F29)</f>
        <v/>
      </c>
      <c r="O39" t="str">
        <f>IF(ISBLANK('Sample Namen'!B29),"","n")</f>
        <v/>
      </c>
    </row>
    <row r="40" spans="1:15" x14ac:dyDescent="0.25">
      <c r="A40" t="str">
        <f>IF(ISBLANK('Sample Namen'!B30),"",'MiSeq SampleSheet'!A39+1)</f>
        <v/>
      </c>
      <c r="B40" t="str">
        <f>IF(ISBLANK('Sample Namen'!B30),"",'Sample Namen'!B30)</f>
        <v/>
      </c>
      <c r="E40" t="str">
        <f>IF(ISBLANK('Sample Namen'!L30),"",'Sample Namen'!L30)</f>
        <v/>
      </c>
      <c r="F40" t="str">
        <f>IF(ISBLANK('Sample Namen'!M30),"",'Sample Namen'!M30)</f>
        <v/>
      </c>
      <c r="G40" t="str">
        <f>IF(ISBLANK('Sample Namen'!O30),"",'Sample Namen'!O30)</f>
        <v/>
      </c>
      <c r="H40" t="str">
        <f>IF(ISBLANK('Sample Namen'!P30),"",'Sample Namen'!P30)</f>
        <v/>
      </c>
      <c r="I40" t="str">
        <f>IF(ISBLANK('Sample Namen'!B30),"","Resistance")</f>
        <v/>
      </c>
      <c r="K40" t="str">
        <f>IF(ISBLANK('Sample Namen'!C30),"",'Sample Namen'!C30)</f>
        <v/>
      </c>
      <c r="L40" t="str">
        <f>IF(ISBLANK('Sample Namen'!D30),"",'Sample Namen'!D30)</f>
        <v/>
      </c>
      <c r="M40" t="str">
        <f>IF(ISBLANK('Sample Namen'!E30),"",'Sample Namen'!E30)</f>
        <v/>
      </c>
      <c r="N40" t="str">
        <f>IF(ISBLANK('Sample Namen'!F30),"",'Sample Namen'!F30)</f>
        <v/>
      </c>
      <c r="O40" t="str">
        <f>IF(ISBLANK('Sample Namen'!B30),"","n")</f>
        <v/>
      </c>
    </row>
    <row r="41" spans="1:15" x14ac:dyDescent="0.25">
      <c r="A41" t="str">
        <f>IF(ISBLANK('Sample Namen'!B31),"",'MiSeq SampleSheet'!A40+1)</f>
        <v/>
      </c>
      <c r="B41" t="str">
        <f>IF(ISBLANK('Sample Namen'!B31),"",'Sample Namen'!B31)</f>
        <v/>
      </c>
      <c r="E41" t="str">
        <f>IF(ISBLANK('Sample Namen'!L31),"",'Sample Namen'!L31)</f>
        <v/>
      </c>
      <c r="F41" t="str">
        <f>IF(ISBLANK('Sample Namen'!M31),"",'Sample Namen'!M31)</f>
        <v/>
      </c>
      <c r="G41" t="str">
        <f>IF(ISBLANK('Sample Namen'!O31),"",'Sample Namen'!O31)</f>
        <v/>
      </c>
      <c r="H41" t="str">
        <f>IF(ISBLANK('Sample Namen'!P31),"",'Sample Namen'!P31)</f>
        <v/>
      </c>
      <c r="I41" t="str">
        <f>IF(ISBLANK('Sample Namen'!B31),"","Resistance")</f>
        <v/>
      </c>
      <c r="K41" t="str">
        <f>IF(ISBLANK('Sample Namen'!C31),"",'Sample Namen'!C31)</f>
        <v/>
      </c>
      <c r="L41" t="str">
        <f>IF(ISBLANK('Sample Namen'!D31),"",'Sample Namen'!D31)</f>
        <v/>
      </c>
      <c r="M41" t="str">
        <f>IF(ISBLANK('Sample Namen'!E31),"",'Sample Namen'!E31)</f>
        <v/>
      </c>
      <c r="N41" t="str">
        <f>IF(ISBLANK('Sample Namen'!F31),"",'Sample Namen'!F31)</f>
        <v/>
      </c>
      <c r="O41" t="str">
        <f>IF(ISBLANK('Sample Namen'!B31),"","n")</f>
        <v/>
      </c>
    </row>
    <row r="42" spans="1:15" x14ac:dyDescent="0.25">
      <c r="A42" t="str">
        <f>IF(ISBLANK('Sample Namen'!B32),"",'MiSeq SampleSheet'!A41+1)</f>
        <v/>
      </c>
      <c r="B42" t="str">
        <f>IF(ISBLANK('Sample Namen'!B32),"",'Sample Namen'!B32)</f>
        <v/>
      </c>
      <c r="E42" t="str">
        <f>IF(ISBLANK('Sample Namen'!L32),"",'Sample Namen'!L32)</f>
        <v/>
      </c>
      <c r="F42" t="str">
        <f>IF(ISBLANK('Sample Namen'!M32),"",'Sample Namen'!M32)</f>
        <v/>
      </c>
      <c r="G42" t="str">
        <f>IF(ISBLANK('Sample Namen'!O32),"",'Sample Namen'!O32)</f>
        <v/>
      </c>
      <c r="H42" t="str">
        <f>IF(ISBLANK('Sample Namen'!P32),"",'Sample Namen'!P32)</f>
        <v/>
      </c>
      <c r="I42" t="str">
        <f>IF(ISBLANK('Sample Namen'!B32),"","Resistance")</f>
        <v/>
      </c>
      <c r="K42" t="str">
        <f>IF(ISBLANK('Sample Namen'!C32),"",'Sample Namen'!C32)</f>
        <v/>
      </c>
      <c r="L42" t="str">
        <f>IF(ISBLANK('Sample Namen'!D32),"",'Sample Namen'!D32)</f>
        <v/>
      </c>
      <c r="M42" t="str">
        <f>IF(ISBLANK('Sample Namen'!E32),"",'Sample Namen'!E32)</f>
        <v/>
      </c>
      <c r="N42" t="str">
        <f>IF(ISBLANK('Sample Namen'!F32),"",'Sample Namen'!F32)</f>
        <v/>
      </c>
      <c r="O42" t="str">
        <f>IF(ISBLANK('Sample Namen'!B32),"","n")</f>
        <v/>
      </c>
    </row>
    <row r="43" spans="1:15" x14ac:dyDescent="0.25">
      <c r="A43" t="str">
        <f>IF(ISBLANK('Sample Namen'!B33),"",'MiSeq SampleSheet'!A42+1)</f>
        <v/>
      </c>
      <c r="B43" t="str">
        <f>IF(ISBLANK('Sample Namen'!B33),"",'Sample Namen'!B33)</f>
        <v/>
      </c>
      <c r="E43" t="str">
        <f>IF(ISBLANK('Sample Namen'!L33),"",'Sample Namen'!L33)</f>
        <v/>
      </c>
      <c r="F43" t="str">
        <f>IF(ISBLANK('Sample Namen'!M33),"",'Sample Namen'!M33)</f>
        <v/>
      </c>
      <c r="G43" t="str">
        <f>IF(ISBLANK('Sample Namen'!O33),"",'Sample Namen'!O33)</f>
        <v/>
      </c>
      <c r="H43" t="str">
        <f>IF(ISBLANK('Sample Namen'!P33),"",'Sample Namen'!P33)</f>
        <v/>
      </c>
      <c r="I43" t="str">
        <f>IF(ISBLANK('Sample Namen'!B33),"","Resistance")</f>
        <v/>
      </c>
      <c r="K43" t="str">
        <f>IF(ISBLANK('Sample Namen'!C33),"",'Sample Namen'!C33)</f>
        <v/>
      </c>
      <c r="L43" t="str">
        <f>IF(ISBLANK('Sample Namen'!D33),"",'Sample Namen'!D33)</f>
        <v/>
      </c>
      <c r="M43" t="str">
        <f>IF(ISBLANK('Sample Namen'!E33),"",'Sample Namen'!E33)</f>
        <v/>
      </c>
      <c r="N43" t="str">
        <f>IF(ISBLANK('Sample Namen'!F33),"",'Sample Namen'!F33)</f>
        <v/>
      </c>
      <c r="O43" t="str">
        <f>IF(ISBLANK('Sample Namen'!B33),"","n")</f>
        <v/>
      </c>
    </row>
    <row r="44" spans="1:15" x14ac:dyDescent="0.25">
      <c r="A44" t="str">
        <f>IF(ISBLANK('Sample Namen'!B34),"",'MiSeq SampleSheet'!A43+1)</f>
        <v/>
      </c>
      <c r="B44" t="str">
        <f>IF(ISBLANK('Sample Namen'!B34),"",'Sample Namen'!B34)</f>
        <v/>
      </c>
      <c r="E44" t="str">
        <f>IF(ISBLANK('Sample Namen'!L34),"",'Sample Namen'!L34)</f>
        <v/>
      </c>
      <c r="F44" t="str">
        <f>IF(ISBLANK('Sample Namen'!M34),"",'Sample Namen'!M34)</f>
        <v/>
      </c>
      <c r="G44" t="str">
        <f>IF(ISBLANK('Sample Namen'!O34),"",'Sample Namen'!O34)</f>
        <v/>
      </c>
      <c r="H44" t="str">
        <f>IF(ISBLANK('Sample Namen'!P34),"",'Sample Namen'!P34)</f>
        <v/>
      </c>
      <c r="I44" t="str">
        <f>IF(ISBLANK('Sample Namen'!B34),"","Resistance")</f>
        <v/>
      </c>
      <c r="K44" t="str">
        <f>IF(ISBLANK('Sample Namen'!C34),"",'Sample Namen'!C34)</f>
        <v/>
      </c>
      <c r="L44" t="str">
        <f>IF(ISBLANK('Sample Namen'!D34),"",'Sample Namen'!D34)</f>
        <v/>
      </c>
      <c r="M44" t="str">
        <f>IF(ISBLANK('Sample Namen'!E34),"",'Sample Namen'!E34)</f>
        <v/>
      </c>
      <c r="N44" t="str">
        <f>IF(ISBLANK('Sample Namen'!F34),"",'Sample Namen'!F34)</f>
        <v/>
      </c>
      <c r="O44" t="str">
        <f>IF(ISBLANK('Sample Namen'!B34),"","n")</f>
        <v/>
      </c>
    </row>
    <row r="45" spans="1:15" x14ac:dyDescent="0.25">
      <c r="A45" t="str">
        <f>IF(ISBLANK('Sample Namen'!B35),"",'MiSeq SampleSheet'!A44+1)</f>
        <v/>
      </c>
      <c r="B45" t="str">
        <f>IF(ISBLANK('Sample Namen'!B35),"",'Sample Namen'!B35)</f>
        <v/>
      </c>
      <c r="E45" t="str">
        <f>IF(ISBLANK('Sample Namen'!L35),"",'Sample Namen'!L35)</f>
        <v/>
      </c>
      <c r="F45" t="str">
        <f>IF(ISBLANK('Sample Namen'!M35),"",'Sample Namen'!M35)</f>
        <v/>
      </c>
      <c r="G45" t="str">
        <f>IF(ISBLANK('Sample Namen'!O35),"",'Sample Namen'!O35)</f>
        <v/>
      </c>
      <c r="H45" t="str">
        <f>IF(ISBLANK('Sample Namen'!P35),"",'Sample Namen'!P35)</f>
        <v/>
      </c>
      <c r="I45" t="str">
        <f>IF(ISBLANK('Sample Namen'!B35),"","Resistance")</f>
        <v/>
      </c>
      <c r="K45" t="str">
        <f>IF(ISBLANK('Sample Namen'!C35),"",'Sample Namen'!C35)</f>
        <v/>
      </c>
      <c r="L45" t="str">
        <f>IF(ISBLANK('Sample Namen'!D35),"",'Sample Namen'!D35)</f>
        <v/>
      </c>
      <c r="M45" t="str">
        <f>IF(ISBLANK('Sample Namen'!E35),"",'Sample Namen'!E35)</f>
        <v/>
      </c>
      <c r="N45" t="str">
        <f>IF(ISBLANK('Sample Namen'!F35),"",'Sample Namen'!F35)</f>
        <v/>
      </c>
      <c r="O45" t="str">
        <f>IF(ISBLANK('Sample Namen'!B35),"","n")</f>
        <v/>
      </c>
    </row>
    <row r="46" spans="1:15" x14ac:dyDescent="0.25">
      <c r="A46" t="str">
        <f>IF(ISBLANK('Sample Namen'!B36),"",'MiSeq SampleSheet'!A45+1)</f>
        <v/>
      </c>
      <c r="B46" t="str">
        <f>IF(ISBLANK('Sample Namen'!B36),"",'Sample Namen'!B36)</f>
        <v/>
      </c>
      <c r="E46" t="str">
        <f>IF(ISBLANK('Sample Namen'!L36),"",'Sample Namen'!L36)</f>
        <v/>
      </c>
      <c r="F46" t="str">
        <f>IF(ISBLANK('Sample Namen'!M36),"",'Sample Namen'!M36)</f>
        <v/>
      </c>
      <c r="G46" t="str">
        <f>IF(ISBLANK('Sample Namen'!O36),"",'Sample Namen'!O36)</f>
        <v/>
      </c>
      <c r="H46" t="str">
        <f>IF(ISBLANK('Sample Namen'!P36),"",'Sample Namen'!P36)</f>
        <v/>
      </c>
      <c r="I46" t="str">
        <f>IF(ISBLANK('Sample Namen'!B36),"","Resistance")</f>
        <v/>
      </c>
      <c r="K46" t="str">
        <f>IF(ISBLANK('Sample Namen'!C36),"",'Sample Namen'!C36)</f>
        <v/>
      </c>
      <c r="L46" t="str">
        <f>IF(ISBLANK('Sample Namen'!D36),"",'Sample Namen'!D36)</f>
        <v/>
      </c>
      <c r="M46" t="str">
        <f>IF(ISBLANK('Sample Namen'!E36),"",'Sample Namen'!E36)</f>
        <v/>
      </c>
      <c r="N46" t="str">
        <f>IF(ISBLANK('Sample Namen'!F36),"",'Sample Namen'!F36)</f>
        <v/>
      </c>
      <c r="O46" t="str">
        <f>IF(ISBLANK('Sample Namen'!B36),"","n")</f>
        <v/>
      </c>
    </row>
    <row r="47" spans="1:15" x14ac:dyDescent="0.25">
      <c r="A47" t="str">
        <f>IF(ISBLANK('Sample Namen'!B37),"",'MiSeq SampleSheet'!A46+1)</f>
        <v/>
      </c>
      <c r="B47" t="str">
        <f>IF(ISBLANK('Sample Namen'!B37),"",'Sample Namen'!B37)</f>
        <v/>
      </c>
      <c r="E47" t="str">
        <f>IF(ISBLANK('Sample Namen'!L37),"",'Sample Namen'!L37)</f>
        <v/>
      </c>
      <c r="F47" t="str">
        <f>IF(ISBLANK('Sample Namen'!M37),"",'Sample Namen'!M37)</f>
        <v/>
      </c>
      <c r="G47" t="str">
        <f>IF(ISBLANK('Sample Namen'!O37),"",'Sample Namen'!O37)</f>
        <v/>
      </c>
      <c r="H47" t="str">
        <f>IF(ISBLANK('Sample Namen'!P37),"",'Sample Namen'!P37)</f>
        <v/>
      </c>
      <c r="I47" t="str">
        <f>IF(ISBLANK('Sample Namen'!B37),"","Resistance")</f>
        <v/>
      </c>
      <c r="K47" t="str">
        <f>IF(ISBLANK('Sample Namen'!C37),"",'Sample Namen'!C37)</f>
        <v/>
      </c>
      <c r="L47" t="str">
        <f>IF(ISBLANK('Sample Namen'!D37),"",'Sample Namen'!D37)</f>
        <v/>
      </c>
      <c r="M47" t="str">
        <f>IF(ISBLANK('Sample Namen'!E37),"",'Sample Namen'!E37)</f>
        <v/>
      </c>
      <c r="N47" t="str">
        <f>IF(ISBLANK('Sample Namen'!F37),"",'Sample Namen'!F37)</f>
        <v/>
      </c>
      <c r="O47" t="str">
        <f>IF(ISBLANK('Sample Namen'!B37),"","n")</f>
        <v/>
      </c>
    </row>
    <row r="48" spans="1:15" x14ac:dyDescent="0.25">
      <c r="A48" t="str">
        <f>IF(ISBLANK('Sample Namen'!B38),"",'MiSeq SampleSheet'!A47+1)</f>
        <v/>
      </c>
      <c r="B48" t="str">
        <f>IF(ISBLANK('Sample Namen'!B38),"",'Sample Namen'!B38)</f>
        <v/>
      </c>
      <c r="E48" t="str">
        <f>IF(ISBLANK('Sample Namen'!L38),"",'Sample Namen'!L38)</f>
        <v/>
      </c>
      <c r="F48" t="str">
        <f>IF(ISBLANK('Sample Namen'!M38),"",'Sample Namen'!M38)</f>
        <v/>
      </c>
      <c r="G48" t="str">
        <f>IF(ISBLANK('Sample Namen'!O38),"",'Sample Namen'!O38)</f>
        <v/>
      </c>
      <c r="H48" t="str">
        <f>IF(ISBLANK('Sample Namen'!P38),"",'Sample Namen'!P38)</f>
        <v/>
      </c>
      <c r="I48" t="str">
        <f>IF(ISBLANK('Sample Namen'!B38),"","Resistance")</f>
        <v/>
      </c>
      <c r="K48" t="str">
        <f>IF(ISBLANK('Sample Namen'!C38),"",'Sample Namen'!C38)</f>
        <v/>
      </c>
      <c r="L48" t="str">
        <f>IF(ISBLANK('Sample Namen'!D38),"",'Sample Namen'!D38)</f>
        <v/>
      </c>
      <c r="M48" t="str">
        <f>IF(ISBLANK('Sample Namen'!E38),"",'Sample Namen'!E38)</f>
        <v/>
      </c>
      <c r="N48" t="str">
        <f>IF(ISBLANK('Sample Namen'!F38),"",'Sample Namen'!F38)</f>
        <v/>
      </c>
      <c r="O48" t="str">
        <f>IF(ISBLANK('Sample Namen'!B38),"","n")</f>
        <v/>
      </c>
    </row>
    <row r="49" spans="1:15" x14ac:dyDescent="0.25">
      <c r="A49" t="str">
        <f>IF(ISBLANK('Sample Namen'!B39),"",'MiSeq SampleSheet'!A48+1)</f>
        <v/>
      </c>
      <c r="B49" t="str">
        <f>IF(ISBLANK('Sample Namen'!B39),"",'Sample Namen'!B39)</f>
        <v/>
      </c>
      <c r="E49" t="str">
        <f>IF(ISBLANK('Sample Namen'!L39),"",'Sample Namen'!L39)</f>
        <v/>
      </c>
      <c r="F49" t="str">
        <f>IF(ISBLANK('Sample Namen'!M39),"",'Sample Namen'!M39)</f>
        <v/>
      </c>
      <c r="G49" t="str">
        <f>IF(ISBLANK('Sample Namen'!O39),"",'Sample Namen'!O39)</f>
        <v/>
      </c>
      <c r="H49" t="str">
        <f>IF(ISBLANK('Sample Namen'!P39),"",'Sample Namen'!P39)</f>
        <v/>
      </c>
      <c r="I49" t="str">
        <f>IF(ISBLANK('Sample Namen'!B39),"","Resistance")</f>
        <v/>
      </c>
      <c r="K49" t="str">
        <f>IF(ISBLANK('Sample Namen'!C39),"",'Sample Namen'!C39)</f>
        <v/>
      </c>
      <c r="L49" t="str">
        <f>IF(ISBLANK('Sample Namen'!D39),"",'Sample Namen'!D39)</f>
        <v/>
      </c>
      <c r="M49" t="str">
        <f>IF(ISBLANK('Sample Namen'!E39),"",'Sample Namen'!E39)</f>
        <v/>
      </c>
      <c r="N49" t="str">
        <f>IF(ISBLANK('Sample Namen'!F39),"",'Sample Namen'!F39)</f>
        <v/>
      </c>
      <c r="O49" t="str">
        <f>IF(ISBLANK('Sample Namen'!B39),"","n")</f>
        <v/>
      </c>
    </row>
    <row r="50" spans="1:15" x14ac:dyDescent="0.25">
      <c r="A50" t="str">
        <f>IF(ISBLANK('Sample Namen'!B40),"",'MiSeq SampleSheet'!A49+1)</f>
        <v/>
      </c>
      <c r="B50" t="str">
        <f>IF(ISBLANK('Sample Namen'!B40),"",'Sample Namen'!B40)</f>
        <v/>
      </c>
      <c r="E50" t="str">
        <f>IF(ISBLANK('Sample Namen'!L40),"",'Sample Namen'!L40)</f>
        <v/>
      </c>
      <c r="F50" t="str">
        <f>IF(ISBLANK('Sample Namen'!M40),"",'Sample Namen'!M40)</f>
        <v/>
      </c>
      <c r="G50" t="str">
        <f>IF(ISBLANK('Sample Namen'!O40),"",'Sample Namen'!O40)</f>
        <v/>
      </c>
      <c r="H50" t="str">
        <f>IF(ISBLANK('Sample Namen'!P40),"",'Sample Namen'!P40)</f>
        <v/>
      </c>
      <c r="I50" t="str">
        <f>IF(ISBLANK('Sample Namen'!B40),"","Resistance")</f>
        <v/>
      </c>
      <c r="K50" t="str">
        <f>IF(ISBLANK('Sample Namen'!C40),"",'Sample Namen'!C40)</f>
        <v/>
      </c>
      <c r="L50" t="str">
        <f>IF(ISBLANK('Sample Namen'!D40),"",'Sample Namen'!D40)</f>
        <v/>
      </c>
      <c r="M50" t="str">
        <f>IF(ISBLANK('Sample Namen'!E40),"",'Sample Namen'!E40)</f>
        <v/>
      </c>
      <c r="N50" t="str">
        <f>IF(ISBLANK('Sample Namen'!F40),"",'Sample Namen'!F40)</f>
        <v/>
      </c>
      <c r="O50" t="str">
        <f>IF(ISBLANK('Sample Namen'!B40),"","n")</f>
        <v/>
      </c>
    </row>
    <row r="51" spans="1:15" x14ac:dyDescent="0.25">
      <c r="A51" t="str">
        <f>IF(ISBLANK('Sample Namen'!B41),"",'MiSeq SampleSheet'!A50+1)</f>
        <v/>
      </c>
      <c r="B51" t="str">
        <f>IF(ISBLANK('Sample Namen'!B41),"",'Sample Namen'!B41)</f>
        <v/>
      </c>
      <c r="E51" t="str">
        <f>IF(ISBLANK('Sample Namen'!L41),"",'Sample Namen'!L41)</f>
        <v/>
      </c>
      <c r="F51" t="str">
        <f>IF(ISBLANK('Sample Namen'!M41),"",'Sample Namen'!M41)</f>
        <v/>
      </c>
      <c r="G51" t="str">
        <f>IF(ISBLANK('Sample Namen'!O41),"",'Sample Namen'!O41)</f>
        <v/>
      </c>
      <c r="H51" t="str">
        <f>IF(ISBLANK('Sample Namen'!P41),"",'Sample Namen'!P41)</f>
        <v/>
      </c>
      <c r="I51" t="str">
        <f>IF(ISBLANK('Sample Namen'!B41),"","Resistance")</f>
        <v/>
      </c>
      <c r="K51" t="str">
        <f>IF(ISBLANK('Sample Namen'!C41),"",'Sample Namen'!C41)</f>
        <v/>
      </c>
      <c r="L51" t="str">
        <f>IF(ISBLANK('Sample Namen'!D41),"",'Sample Namen'!D41)</f>
        <v/>
      </c>
      <c r="M51" t="str">
        <f>IF(ISBLANK('Sample Namen'!E41),"",'Sample Namen'!E41)</f>
        <v/>
      </c>
      <c r="N51" t="str">
        <f>IF(ISBLANK('Sample Namen'!F41),"",'Sample Namen'!F41)</f>
        <v/>
      </c>
      <c r="O51" t="str">
        <f>IF(ISBLANK('Sample Namen'!B41),"","n")</f>
        <v/>
      </c>
    </row>
    <row r="52" spans="1:15" x14ac:dyDescent="0.25">
      <c r="A52" t="str">
        <f>IF(ISBLANK('Sample Namen'!B42),"",'MiSeq SampleSheet'!A51+1)</f>
        <v/>
      </c>
      <c r="B52" t="str">
        <f>IF(ISBLANK('Sample Namen'!B42),"",'Sample Namen'!B42)</f>
        <v/>
      </c>
      <c r="E52" t="str">
        <f>IF(ISBLANK('Sample Namen'!L42),"",'Sample Namen'!L42)</f>
        <v/>
      </c>
      <c r="F52" t="str">
        <f>IF(ISBLANK('Sample Namen'!M42),"",'Sample Namen'!M42)</f>
        <v/>
      </c>
      <c r="G52" t="str">
        <f>IF(ISBLANK('Sample Namen'!O42),"",'Sample Namen'!O42)</f>
        <v/>
      </c>
      <c r="H52" t="str">
        <f>IF(ISBLANK('Sample Namen'!P42),"",'Sample Namen'!P42)</f>
        <v/>
      </c>
      <c r="I52" t="str">
        <f>IF(ISBLANK('Sample Namen'!B42),"","Resistance")</f>
        <v/>
      </c>
      <c r="K52" t="str">
        <f>IF(ISBLANK('Sample Namen'!C42),"",'Sample Namen'!C42)</f>
        <v/>
      </c>
      <c r="L52" t="str">
        <f>IF(ISBLANK('Sample Namen'!D42),"",'Sample Namen'!D42)</f>
        <v/>
      </c>
      <c r="M52" t="str">
        <f>IF(ISBLANK('Sample Namen'!E42),"",'Sample Namen'!E42)</f>
        <v/>
      </c>
      <c r="N52" t="str">
        <f>IF(ISBLANK('Sample Namen'!F42),"",'Sample Namen'!F42)</f>
        <v/>
      </c>
      <c r="O52" t="str">
        <f>IF(ISBLANK('Sample Namen'!B42),"","n")</f>
        <v/>
      </c>
    </row>
    <row r="53" spans="1:15" x14ac:dyDescent="0.25">
      <c r="A53" t="str">
        <f>IF(ISBLANK('Sample Namen'!B43),"",'MiSeq SampleSheet'!A52+1)</f>
        <v/>
      </c>
      <c r="B53" t="str">
        <f>IF(ISBLANK('Sample Namen'!B43),"",'Sample Namen'!B43)</f>
        <v/>
      </c>
      <c r="E53" t="str">
        <f>IF(ISBLANK('Sample Namen'!L43),"",'Sample Namen'!L43)</f>
        <v/>
      </c>
      <c r="F53" t="str">
        <f>IF(ISBLANK('Sample Namen'!M43),"",'Sample Namen'!M43)</f>
        <v/>
      </c>
      <c r="G53" t="str">
        <f>IF(ISBLANK('Sample Namen'!O43),"",'Sample Namen'!O43)</f>
        <v/>
      </c>
      <c r="H53" t="str">
        <f>IF(ISBLANK('Sample Namen'!P43),"",'Sample Namen'!P43)</f>
        <v/>
      </c>
      <c r="I53" t="str">
        <f>IF(ISBLANK('Sample Namen'!B43),"","Resistance")</f>
        <v/>
      </c>
      <c r="K53" t="str">
        <f>IF(ISBLANK('Sample Namen'!C43),"",'Sample Namen'!C43)</f>
        <v/>
      </c>
      <c r="L53" t="str">
        <f>IF(ISBLANK('Sample Namen'!D43),"",'Sample Namen'!D43)</f>
        <v/>
      </c>
      <c r="M53" t="str">
        <f>IF(ISBLANK('Sample Namen'!E43),"",'Sample Namen'!E43)</f>
        <v/>
      </c>
      <c r="N53" t="str">
        <f>IF(ISBLANK('Sample Namen'!F43),"",'Sample Namen'!F43)</f>
        <v/>
      </c>
      <c r="O53" t="str">
        <f>IF(ISBLANK('Sample Namen'!B43),"","n")</f>
        <v/>
      </c>
    </row>
    <row r="54" spans="1:15" x14ac:dyDescent="0.25">
      <c r="A54" t="str">
        <f>IF(ISBLANK('Sample Namen'!B44),"",'MiSeq SampleSheet'!A53+1)</f>
        <v/>
      </c>
      <c r="B54" t="str">
        <f>IF(ISBLANK('Sample Namen'!B44),"",'Sample Namen'!B44)</f>
        <v/>
      </c>
      <c r="E54" t="str">
        <f>IF(ISBLANK('Sample Namen'!L44),"",'Sample Namen'!L44)</f>
        <v/>
      </c>
      <c r="F54" t="str">
        <f>IF(ISBLANK('Sample Namen'!M44),"",'Sample Namen'!M44)</f>
        <v/>
      </c>
      <c r="G54" t="str">
        <f>IF(ISBLANK('Sample Namen'!O44),"",'Sample Namen'!O44)</f>
        <v/>
      </c>
      <c r="H54" t="str">
        <f>IF(ISBLANK('Sample Namen'!P44),"",'Sample Namen'!P44)</f>
        <v/>
      </c>
      <c r="I54" t="str">
        <f>IF(ISBLANK('Sample Namen'!B44),"","Resistance")</f>
        <v/>
      </c>
      <c r="K54" t="str">
        <f>IF(ISBLANK('Sample Namen'!C44),"",'Sample Namen'!C44)</f>
        <v/>
      </c>
      <c r="L54" t="str">
        <f>IF(ISBLANK('Sample Namen'!D44),"",'Sample Namen'!D44)</f>
        <v/>
      </c>
      <c r="M54" t="str">
        <f>IF(ISBLANK('Sample Namen'!E44),"",'Sample Namen'!E44)</f>
        <v/>
      </c>
      <c r="N54" t="str">
        <f>IF(ISBLANK('Sample Namen'!F44),"",'Sample Namen'!F44)</f>
        <v/>
      </c>
      <c r="O54" t="str">
        <f>IF(ISBLANK('Sample Namen'!B44),"","n")</f>
        <v/>
      </c>
    </row>
    <row r="55" spans="1:15" x14ac:dyDescent="0.25">
      <c r="A55" t="str">
        <f>IF(ISBLANK('Sample Namen'!B45),"",'MiSeq SampleSheet'!A54+1)</f>
        <v/>
      </c>
      <c r="B55" t="str">
        <f>IF(ISBLANK('Sample Namen'!B45),"",'Sample Namen'!B45)</f>
        <v/>
      </c>
      <c r="E55" t="str">
        <f>IF(ISBLANK('Sample Namen'!L45),"",'Sample Namen'!L45)</f>
        <v/>
      </c>
      <c r="F55" t="str">
        <f>IF(ISBLANK('Sample Namen'!M45),"",'Sample Namen'!M45)</f>
        <v/>
      </c>
      <c r="G55" t="str">
        <f>IF(ISBLANK('Sample Namen'!O45),"",'Sample Namen'!O45)</f>
        <v/>
      </c>
      <c r="H55" t="str">
        <f>IF(ISBLANK('Sample Namen'!P45),"",'Sample Namen'!P45)</f>
        <v/>
      </c>
      <c r="I55" t="str">
        <f>IF(ISBLANK('Sample Namen'!B45),"","Resistance")</f>
        <v/>
      </c>
      <c r="K55" t="str">
        <f>IF(ISBLANK('Sample Namen'!C45),"",'Sample Namen'!C45)</f>
        <v/>
      </c>
      <c r="L55" t="str">
        <f>IF(ISBLANK('Sample Namen'!D45),"",'Sample Namen'!D45)</f>
        <v/>
      </c>
      <c r="M55" t="str">
        <f>IF(ISBLANK('Sample Namen'!E45),"",'Sample Namen'!E45)</f>
        <v/>
      </c>
      <c r="N55" t="str">
        <f>IF(ISBLANK('Sample Namen'!F45),"",'Sample Namen'!F45)</f>
        <v/>
      </c>
      <c r="O55" t="str">
        <f>IF(ISBLANK('Sample Namen'!B45),"","n")</f>
        <v/>
      </c>
    </row>
    <row r="56" spans="1:15" x14ac:dyDescent="0.25">
      <c r="A56" t="str">
        <f>IF(ISBLANK('Sample Namen'!B46),"",'MiSeq SampleSheet'!A55+1)</f>
        <v/>
      </c>
      <c r="B56" t="str">
        <f>IF(ISBLANK('Sample Namen'!B46),"",'Sample Namen'!B46)</f>
        <v/>
      </c>
      <c r="E56" t="str">
        <f>IF(ISBLANK('Sample Namen'!L46),"",'Sample Namen'!L46)</f>
        <v/>
      </c>
      <c r="F56" t="str">
        <f>IF(ISBLANK('Sample Namen'!M46),"",'Sample Namen'!M46)</f>
        <v/>
      </c>
      <c r="G56" t="str">
        <f>IF(ISBLANK('Sample Namen'!O46),"",'Sample Namen'!O46)</f>
        <v/>
      </c>
      <c r="H56" t="str">
        <f>IF(ISBLANK('Sample Namen'!P46),"",'Sample Namen'!P46)</f>
        <v/>
      </c>
      <c r="I56" t="str">
        <f>IF(ISBLANK('Sample Namen'!B46),"","Resistance")</f>
        <v/>
      </c>
      <c r="K56" t="str">
        <f>IF(ISBLANK('Sample Namen'!C46),"",'Sample Namen'!C46)</f>
        <v/>
      </c>
      <c r="L56" t="str">
        <f>IF(ISBLANK('Sample Namen'!D46),"",'Sample Namen'!D46)</f>
        <v/>
      </c>
      <c r="M56" t="str">
        <f>IF(ISBLANK('Sample Namen'!E46),"",'Sample Namen'!E46)</f>
        <v/>
      </c>
      <c r="N56" t="str">
        <f>IF(ISBLANK('Sample Namen'!F46),"",'Sample Namen'!F46)</f>
        <v/>
      </c>
      <c r="O56" t="str">
        <f>IF(ISBLANK('Sample Namen'!B46),"","n")</f>
        <v/>
      </c>
    </row>
    <row r="57" spans="1:15" x14ac:dyDescent="0.25">
      <c r="A57" t="str">
        <f>IF(ISBLANK('Sample Namen'!B47),"",'MiSeq SampleSheet'!A56+1)</f>
        <v/>
      </c>
      <c r="B57" t="str">
        <f>IF(ISBLANK('Sample Namen'!B47),"",'Sample Namen'!B47)</f>
        <v/>
      </c>
      <c r="E57" t="str">
        <f>IF(ISBLANK('Sample Namen'!L47),"",'Sample Namen'!L47)</f>
        <v/>
      </c>
      <c r="F57" t="str">
        <f>IF(ISBLANK('Sample Namen'!M47),"",'Sample Namen'!M47)</f>
        <v/>
      </c>
      <c r="G57" t="str">
        <f>IF(ISBLANK('Sample Namen'!O47),"",'Sample Namen'!O47)</f>
        <v/>
      </c>
      <c r="H57" t="str">
        <f>IF(ISBLANK('Sample Namen'!P47),"",'Sample Namen'!P47)</f>
        <v/>
      </c>
      <c r="I57" t="str">
        <f>IF(ISBLANK('Sample Namen'!B47),"","Resistance")</f>
        <v/>
      </c>
      <c r="K57" t="str">
        <f>IF(ISBLANK('Sample Namen'!C47),"",'Sample Namen'!C47)</f>
        <v/>
      </c>
      <c r="L57" t="str">
        <f>IF(ISBLANK('Sample Namen'!D47),"",'Sample Namen'!D47)</f>
        <v/>
      </c>
      <c r="M57" t="str">
        <f>IF(ISBLANK('Sample Namen'!E47),"",'Sample Namen'!E47)</f>
        <v/>
      </c>
      <c r="N57" t="str">
        <f>IF(ISBLANK('Sample Namen'!F47),"",'Sample Namen'!F47)</f>
        <v/>
      </c>
      <c r="O57" t="str">
        <f>IF(ISBLANK('Sample Namen'!B47),"","n")</f>
        <v/>
      </c>
    </row>
    <row r="58" spans="1:15" x14ac:dyDescent="0.25">
      <c r="A58" t="str">
        <f>IF(ISBLANK('Sample Namen'!B48),"",'MiSeq SampleSheet'!A57+1)</f>
        <v/>
      </c>
      <c r="B58" t="str">
        <f>IF(ISBLANK('Sample Namen'!B48),"",'Sample Namen'!B48)</f>
        <v/>
      </c>
      <c r="E58" t="str">
        <f>IF(ISBLANK('Sample Namen'!L48),"",'Sample Namen'!L48)</f>
        <v/>
      </c>
      <c r="F58" t="str">
        <f>IF(ISBLANK('Sample Namen'!M48),"",'Sample Namen'!M48)</f>
        <v/>
      </c>
      <c r="G58" t="str">
        <f>IF(ISBLANK('Sample Namen'!O48),"",'Sample Namen'!O48)</f>
        <v/>
      </c>
      <c r="H58" t="str">
        <f>IF(ISBLANK('Sample Namen'!P48),"",'Sample Namen'!P48)</f>
        <v/>
      </c>
      <c r="I58" t="str">
        <f>IF(ISBLANK('Sample Namen'!B48),"","Resistance")</f>
        <v/>
      </c>
      <c r="K58" t="str">
        <f>IF(ISBLANK('Sample Namen'!C48),"",'Sample Namen'!C48)</f>
        <v/>
      </c>
      <c r="L58" t="str">
        <f>IF(ISBLANK('Sample Namen'!D48),"",'Sample Namen'!D48)</f>
        <v/>
      </c>
      <c r="M58" t="str">
        <f>IF(ISBLANK('Sample Namen'!E48),"",'Sample Namen'!E48)</f>
        <v/>
      </c>
      <c r="N58" t="str">
        <f>IF(ISBLANK('Sample Namen'!F48),"",'Sample Namen'!F48)</f>
        <v/>
      </c>
      <c r="O58" t="str">
        <f>IF(ISBLANK('Sample Namen'!B48),"","n")</f>
        <v/>
      </c>
    </row>
    <row r="59" spans="1:15" x14ac:dyDescent="0.25">
      <c r="A59" t="str">
        <f>IF(ISBLANK('Sample Namen'!B49),"",'MiSeq SampleSheet'!A58+1)</f>
        <v/>
      </c>
      <c r="B59" t="str">
        <f>IF(ISBLANK('Sample Namen'!B49),"",'Sample Namen'!B49)</f>
        <v/>
      </c>
      <c r="E59" t="str">
        <f>IF(ISBLANK('Sample Namen'!L49),"",'Sample Namen'!L49)</f>
        <v/>
      </c>
      <c r="F59" t="str">
        <f>IF(ISBLANK('Sample Namen'!M49),"",'Sample Namen'!M49)</f>
        <v/>
      </c>
      <c r="G59" t="str">
        <f>IF(ISBLANK('Sample Namen'!O49),"",'Sample Namen'!O49)</f>
        <v/>
      </c>
      <c r="H59" t="str">
        <f>IF(ISBLANK('Sample Namen'!P49),"",'Sample Namen'!P49)</f>
        <v/>
      </c>
      <c r="I59" t="str">
        <f>IF(ISBLANK('Sample Namen'!B49),"","Resistance")</f>
        <v/>
      </c>
      <c r="K59" t="str">
        <f>IF(ISBLANK('Sample Namen'!C49),"",'Sample Namen'!C49)</f>
        <v/>
      </c>
      <c r="L59" t="str">
        <f>IF(ISBLANK('Sample Namen'!D49),"",'Sample Namen'!D49)</f>
        <v/>
      </c>
      <c r="M59" t="str">
        <f>IF(ISBLANK('Sample Namen'!E49),"",'Sample Namen'!E49)</f>
        <v/>
      </c>
      <c r="N59" t="str">
        <f>IF(ISBLANK('Sample Namen'!F49),"",'Sample Namen'!F49)</f>
        <v/>
      </c>
      <c r="O59" t="str">
        <f>IF(ISBLANK('Sample Namen'!B49),"","n")</f>
        <v/>
      </c>
    </row>
    <row r="60" spans="1:15" x14ac:dyDescent="0.25">
      <c r="A60" t="str">
        <f>IF(ISBLANK('Sample Namen'!B50),"",'MiSeq SampleSheet'!A59+1)</f>
        <v/>
      </c>
      <c r="B60" t="str">
        <f>IF(ISBLANK('Sample Namen'!B50),"",'Sample Namen'!B50)</f>
        <v/>
      </c>
      <c r="E60" t="str">
        <f>IF(ISBLANK('Sample Namen'!L50),"",'Sample Namen'!L50)</f>
        <v/>
      </c>
      <c r="F60" t="str">
        <f>IF(ISBLANK('Sample Namen'!M50),"",'Sample Namen'!M50)</f>
        <v/>
      </c>
      <c r="G60" t="str">
        <f>IF(ISBLANK('Sample Namen'!O50),"",'Sample Namen'!O50)</f>
        <v/>
      </c>
      <c r="H60" t="str">
        <f>IF(ISBLANK('Sample Namen'!P50),"",'Sample Namen'!P50)</f>
        <v/>
      </c>
      <c r="I60" t="str">
        <f>IF(ISBLANK('Sample Namen'!B50),"","Resistance")</f>
        <v/>
      </c>
      <c r="K60" t="str">
        <f>IF(ISBLANK('Sample Namen'!C50),"",'Sample Namen'!C50)</f>
        <v/>
      </c>
      <c r="L60" t="str">
        <f>IF(ISBLANK('Sample Namen'!D50),"",'Sample Namen'!D50)</f>
        <v/>
      </c>
      <c r="M60" t="str">
        <f>IF(ISBLANK('Sample Namen'!E50),"",'Sample Namen'!E50)</f>
        <v/>
      </c>
      <c r="N60" t="str">
        <f>IF(ISBLANK('Sample Namen'!F50),"",'Sample Namen'!F50)</f>
        <v/>
      </c>
      <c r="O60" t="str">
        <f>IF(ISBLANK('Sample Namen'!B50),"","n")</f>
        <v/>
      </c>
    </row>
    <row r="61" spans="1:15" x14ac:dyDescent="0.25">
      <c r="A61" t="str">
        <f>IF(ISBLANK('Sample Namen'!B51),"",'MiSeq SampleSheet'!A60+1)</f>
        <v/>
      </c>
      <c r="B61" t="str">
        <f>IF(ISBLANK('Sample Namen'!B51),"",'Sample Namen'!B51)</f>
        <v/>
      </c>
      <c r="E61" t="str">
        <f>IF(ISBLANK('Sample Namen'!L51),"",'Sample Namen'!L51)</f>
        <v/>
      </c>
      <c r="F61" t="str">
        <f>IF(ISBLANK('Sample Namen'!M51),"",'Sample Namen'!M51)</f>
        <v/>
      </c>
      <c r="G61" t="str">
        <f>IF(ISBLANK('Sample Namen'!O51),"",'Sample Namen'!O51)</f>
        <v/>
      </c>
      <c r="H61" t="str">
        <f>IF(ISBLANK('Sample Namen'!P51),"",'Sample Namen'!P51)</f>
        <v/>
      </c>
      <c r="I61" t="str">
        <f>IF(ISBLANK('Sample Namen'!B51),"","Resistance")</f>
        <v/>
      </c>
      <c r="K61" t="str">
        <f>IF(ISBLANK('Sample Namen'!C51),"",'Sample Namen'!C51)</f>
        <v/>
      </c>
      <c r="L61" t="str">
        <f>IF(ISBLANK('Sample Namen'!D51),"",'Sample Namen'!D51)</f>
        <v/>
      </c>
      <c r="M61" t="str">
        <f>IF(ISBLANK('Sample Namen'!E51),"",'Sample Namen'!E51)</f>
        <v/>
      </c>
      <c r="N61" t="str">
        <f>IF(ISBLANK('Sample Namen'!F51),"",'Sample Namen'!F51)</f>
        <v/>
      </c>
      <c r="O61" t="str">
        <f>IF(ISBLANK('Sample Namen'!B51),"","n")</f>
        <v/>
      </c>
    </row>
    <row r="62" spans="1:15" x14ac:dyDescent="0.25">
      <c r="A62" t="str">
        <f>IF(ISBLANK('Sample Namen'!B52),"",'MiSeq SampleSheet'!A61+1)</f>
        <v/>
      </c>
      <c r="B62" t="str">
        <f>IF(ISBLANK('Sample Namen'!B52),"",'Sample Namen'!B52)</f>
        <v/>
      </c>
      <c r="E62" t="str">
        <f>IF(ISBLANK('Sample Namen'!L52),"",'Sample Namen'!L52)</f>
        <v/>
      </c>
      <c r="F62" t="str">
        <f>IF(ISBLANK('Sample Namen'!M52),"",'Sample Namen'!M52)</f>
        <v/>
      </c>
      <c r="G62" t="str">
        <f>IF(ISBLANK('Sample Namen'!O52),"",'Sample Namen'!O52)</f>
        <v/>
      </c>
      <c r="H62" t="str">
        <f>IF(ISBLANK('Sample Namen'!P52),"",'Sample Namen'!P52)</f>
        <v/>
      </c>
      <c r="I62" t="str">
        <f>IF(ISBLANK('Sample Namen'!B52),"","Resistance")</f>
        <v/>
      </c>
      <c r="K62" t="str">
        <f>IF(ISBLANK('Sample Namen'!C52),"",'Sample Namen'!C52)</f>
        <v/>
      </c>
      <c r="L62" t="str">
        <f>IF(ISBLANK('Sample Namen'!D52),"",'Sample Namen'!D52)</f>
        <v/>
      </c>
      <c r="M62" t="str">
        <f>IF(ISBLANK('Sample Namen'!E52),"",'Sample Namen'!E52)</f>
        <v/>
      </c>
      <c r="N62" t="str">
        <f>IF(ISBLANK('Sample Namen'!F52),"",'Sample Namen'!F52)</f>
        <v/>
      </c>
      <c r="O62" t="str">
        <f>IF(ISBLANK('Sample Namen'!B52),"","n")</f>
        <v/>
      </c>
    </row>
    <row r="63" spans="1:15" x14ac:dyDescent="0.25">
      <c r="A63" t="str">
        <f>IF(ISBLANK('Sample Namen'!B53),"",'MiSeq SampleSheet'!A62+1)</f>
        <v/>
      </c>
      <c r="B63" t="str">
        <f>IF(ISBLANK('Sample Namen'!B53),"",'Sample Namen'!B53)</f>
        <v/>
      </c>
      <c r="E63" t="str">
        <f>IF(ISBLANK('Sample Namen'!L53),"",'Sample Namen'!L53)</f>
        <v/>
      </c>
      <c r="F63" t="str">
        <f>IF(ISBLANK('Sample Namen'!M53),"",'Sample Namen'!M53)</f>
        <v/>
      </c>
      <c r="G63" t="str">
        <f>IF(ISBLANK('Sample Namen'!O53),"",'Sample Namen'!O53)</f>
        <v/>
      </c>
      <c r="H63" t="str">
        <f>IF(ISBLANK('Sample Namen'!P53),"",'Sample Namen'!P53)</f>
        <v/>
      </c>
      <c r="I63" t="str">
        <f>IF(ISBLANK('Sample Namen'!B53),"","Resistance")</f>
        <v/>
      </c>
      <c r="K63" t="str">
        <f>IF(ISBLANK('Sample Namen'!C53),"",'Sample Namen'!C53)</f>
        <v/>
      </c>
      <c r="L63" t="str">
        <f>IF(ISBLANK('Sample Namen'!D53),"",'Sample Namen'!D53)</f>
        <v/>
      </c>
      <c r="M63" t="str">
        <f>IF(ISBLANK('Sample Namen'!E53),"",'Sample Namen'!E53)</f>
        <v/>
      </c>
      <c r="N63" t="str">
        <f>IF(ISBLANK('Sample Namen'!F53),"",'Sample Namen'!F53)</f>
        <v/>
      </c>
      <c r="O63" t="str">
        <f>IF(ISBLANK('Sample Namen'!B53),"","n")</f>
        <v/>
      </c>
    </row>
    <row r="64" spans="1:15" x14ac:dyDescent="0.25">
      <c r="A64" t="str">
        <f>IF(ISBLANK('Sample Namen'!B54),"",'MiSeq SampleSheet'!A63+1)</f>
        <v/>
      </c>
      <c r="B64" t="str">
        <f>IF(ISBLANK('Sample Namen'!B54),"",'Sample Namen'!B54)</f>
        <v/>
      </c>
      <c r="E64" t="str">
        <f>IF(ISBLANK('Sample Namen'!L54),"",'Sample Namen'!L54)</f>
        <v/>
      </c>
      <c r="F64" t="str">
        <f>IF(ISBLANK('Sample Namen'!M54),"",'Sample Namen'!M54)</f>
        <v/>
      </c>
      <c r="G64" t="str">
        <f>IF(ISBLANK('Sample Namen'!O54),"",'Sample Namen'!O54)</f>
        <v/>
      </c>
      <c r="H64" t="str">
        <f>IF(ISBLANK('Sample Namen'!P54),"",'Sample Namen'!P54)</f>
        <v/>
      </c>
      <c r="I64" t="str">
        <f>IF(ISBLANK('Sample Namen'!B54),"","Resistance")</f>
        <v/>
      </c>
      <c r="K64" t="str">
        <f>IF(ISBLANK('Sample Namen'!C54),"",'Sample Namen'!C54)</f>
        <v/>
      </c>
      <c r="L64" t="str">
        <f>IF(ISBLANK('Sample Namen'!D54),"",'Sample Namen'!D54)</f>
        <v/>
      </c>
      <c r="M64" t="str">
        <f>IF(ISBLANK('Sample Namen'!E54),"",'Sample Namen'!E54)</f>
        <v/>
      </c>
      <c r="N64" t="str">
        <f>IF(ISBLANK('Sample Namen'!F54),"",'Sample Namen'!F54)</f>
        <v/>
      </c>
      <c r="O64" t="str">
        <f>IF(ISBLANK('Sample Namen'!B54),"","n")</f>
        <v/>
      </c>
    </row>
    <row r="65" spans="1:15" x14ac:dyDescent="0.25">
      <c r="A65" t="str">
        <f>IF(ISBLANK('Sample Namen'!B55),"",'MiSeq SampleSheet'!A64+1)</f>
        <v/>
      </c>
      <c r="B65" t="str">
        <f>IF(ISBLANK('Sample Namen'!B55),"",'Sample Namen'!B55)</f>
        <v/>
      </c>
      <c r="E65" t="str">
        <f>IF(ISBLANK('Sample Namen'!L55),"",'Sample Namen'!L55)</f>
        <v/>
      </c>
      <c r="F65" t="str">
        <f>IF(ISBLANK('Sample Namen'!M55),"",'Sample Namen'!M55)</f>
        <v/>
      </c>
      <c r="G65" t="str">
        <f>IF(ISBLANK('Sample Namen'!O55),"",'Sample Namen'!O55)</f>
        <v/>
      </c>
      <c r="H65" t="str">
        <f>IF(ISBLANK('Sample Namen'!P55),"",'Sample Namen'!P55)</f>
        <v/>
      </c>
      <c r="I65" t="str">
        <f>IF(ISBLANK('Sample Namen'!B55),"","Resistance")</f>
        <v/>
      </c>
      <c r="K65" t="str">
        <f>IF(ISBLANK('Sample Namen'!C55),"",'Sample Namen'!C55)</f>
        <v/>
      </c>
      <c r="L65" t="str">
        <f>IF(ISBLANK('Sample Namen'!D55),"",'Sample Namen'!D55)</f>
        <v/>
      </c>
      <c r="M65" t="str">
        <f>IF(ISBLANK('Sample Namen'!E55),"",'Sample Namen'!E55)</f>
        <v/>
      </c>
      <c r="N65" t="str">
        <f>IF(ISBLANK('Sample Namen'!F55),"",'Sample Namen'!F55)</f>
        <v/>
      </c>
      <c r="O65" t="str">
        <f>IF(ISBLANK('Sample Namen'!B55),"","n")</f>
        <v/>
      </c>
    </row>
    <row r="66" spans="1:15" x14ac:dyDescent="0.25">
      <c r="A66" t="str">
        <f>IF(ISBLANK('Sample Namen'!B56),"",'MiSeq SampleSheet'!A65+1)</f>
        <v/>
      </c>
      <c r="B66" t="str">
        <f>IF(ISBLANK('Sample Namen'!B56),"",'Sample Namen'!B56)</f>
        <v/>
      </c>
      <c r="E66" t="str">
        <f>IF(ISBLANK('Sample Namen'!L56),"",'Sample Namen'!L56)</f>
        <v/>
      </c>
      <c r="F66" t="str">
        <f>IF(ISBLANK('Sample Namen'!M56),"",'Sample Namen'!M56)</f>
        <v/>
      </c>
      <c r="G66" t="str">
        <f>IF(ISBLANK('Sample Namen'!O56),"",'Sample Namen'!O56)</f>
        <v/>
      </c>
      <c r="H66" t="str">
        <f>IF(ISBLANK('Sample Namen'!P56),"",'Sample Namen'!P56)</f>
        <v/>
      </c>
      <c r="I66" t="str">
        <f>IF(ISBLANK('Sample Namen'!B56),"","Resistance")</f>
        <v/>
      </c>
      <c r="K66" t="str">
        <f>IF(ISBLANK('Sample Namen'!C56),"",'Sample Namen'!C56)</f>
        <v/>
      </c>
      <c r="L66" t="str">
        <f>IF(ISBLANK('Sample Namen'!D56),"",'Sample Namen'!D56)</f>
        <v/>
      </c>
      <c r="M66" t="str">
        <f>IF(ISBLANK('Sample Namen'!E56),"",'Sample Namen'!E56)</f>
        <v/>
      </c>
      <c r="N66" t="str">
        <f>IF(ISBLANK('Sample Namen'!F56),"",'Sample Namen'!F56)</f>
        <v/>
      </c>
      <c r="O66" t="str">
        <f>IF(ISBLANK('Sample Namen'!B56),"","n")</f>
        <v/>
      </c>
    </row>
    <row r="67" spans="1:15" x14ac:dyDescent="0.25">
      <c r="A67" t="str">
        <f>IF(ISBLANK('Sample Namen'!B57),"",'MiSeq SampleSheet'!A66+1)</f>
        <v/>
      </c>
      <c r="B67" t="str">
        <f>IF(ISBLANK('Sample Namen'!B57),"",'Sample Namen'!B57)</f>
        <v/>
      </c>
      <c r="E67" t="str">
        <f>IF(ISBLANK('Sample Namen'!L57),"",'Sample Namen'!L57)</f>
        <v/>
      </c>
      <c r="F67" t="str">
        <f>IF(ISBLANK('Sample Namen'!M57),"",'Sample Namen'!M57)</f>
        <v/>
      </c>
      <c r="G67" t="str">
        <f>IF(ISBLANK('Sample Namen'!O57),"",'Sample Namen'!O57)</f>
        <v/>
      </c>
      <c r="H67" t="str">
        <f>IF(ISBLANK('Sample Namen'!P57),"",'Sample Namen'!P57)</f>
        <v/>
      </c>
      <c r="I67" t="str">
        <f>IF(ISBLANK('Sample Namen'!B57),"","Resistance")</f>
        <v/>
      </c>
      <c r="K67" t="str">
        <f>IF(ISBLANK('Sample Namen'!C57),"",'Sample Namen'!C57)</f>
        <v/>
      </c>
      <c r="L67" t="str">
        <f>IF(ISBLANK('Sample Namen'!D57),"",'Sample Namen'!D57)</f>
        <v/>
      </c>
      <c r="M67" t="str">
        <f>IF(ISBLANK('Sample Namen'!E57),"",'Sample Namen'!E57)</f>
        <v/>
      </c>
      <c r="N67" t="str">
        <f>IF(ISBLANK('Sample Namen'!F57),"",'Sample Namen'!F57)</f>
        <v/>
      </c>
      <c r="O67" t="str">
        <f>IF(ISBLANK('Sample Namen'!B57),"","n")</f>
        <v/>
      </c>
    </row>
    <row r="68" spans="1:15" x14ac:dyDescent="0.25">
      <c r="A68" t="str">
        <f>IF(ISBLANK('Sample Namen'!B58),"",'MiSeq SampleSheet'!A67+1)</f>
        <v/>
      </c>
      <c r="B68" t="str">
        <f>IF(ISBLANK('Sample Namen'!B58),"",'Sample Namen'!B58)</f>
        <v/>
      </c>
      <c r="E68" t="str">
        <f>IF(ISBLANK('Sample Namen'!L58),"",'Sample Namen'!L58)</f>
        <v/>
      </c>
      <c r="F68" t="str">
        <f>IF(ISBLANK('Sample Namen'!M58),"",'Sample Namen'!M58)</f>
        <v/>
      </c>
      <c r="G68" t="str">
        <f>IF(ISBLANK('Sample Namen'!O58),"",'Sample Namen'!O58)</f>
        <v/>
      </c>
      <c r="H68" t="str">
        <f>IF(ISBLANK('Sample Namen'!P58),"",'Sample Namen'!P58)</f>
        <v/>
      </c>
      <c r="I68" t="str">
        <f>IF(ISBLANK('Sample Namen'!B58),"","Resistance")</f>
        <v/>
      </c>
      <c r="K68" t="str">
        <f>IF(ISBLANK('Sample Namen'!C58),"",'Sample Namen'!C58)</f>
        <v/>
      </c>
      <c r="L68" t="str">
        <f>IF(ISBLANK('Sample Namen'!D58),"",'Sample Namen'!D58)</f>
        <v/>
      </c>
      <c r="M68" t="str">
        <f>IF(ISBLANK('Sample Namen'!E58),"",'Sample Namen'!E58)</f>
        <v/>
      </c>
      <c r="N68" t="str">
        <f>IF(ISBLANK('Sample Namen'!F58),"",'Sample Namen'!F58)</f>
        <v/>
      </c>
      <c r="O68" t="str">
        <f>IF(ISBLANK('Sample Namen'!B58),"","n")</f>
        <v/>
      </c>
    </row>
    <row r="69" spans="1:15" x14ac:dyDescent="0.25">
      <c r="A69" t="str">
        <f>IF(ISBLANK('Sample Namen'!B59),"",'MiSeq SampleSheet'!A68+1)</f>
        <v/>
      </c>
      <c r="B69" t="str">
        <f>IF(ISBLANK('Sample Namen'!B59),"",'Sample Namen'!B59)</f>
        <v/>
      </c>
      <c r="E69" t="str">
        <f>IF(ISBLANK('Sample Namen'!L59),"",'Sample Namen'!L59)</f>
        <v/>
      </c>
      <c r="F69" t="str">
        <f>IF(ISBLANK('Sample Namen'!M59),"",'Sample Namen'!M59)</f>
        <v/>
      </c>
      <c r="G69" t="str">
        <f>IF(ISBLANK('Sample Namen'!O59),"",'Sample Namen'!O59)</f>
        <v/>
      </c>
      <c r="H69" t="str">
        <f>IF(ISBLANK('Sample Namen'!P59),"",'Sample Namen'!P59)</f>
        <v/>
      </c>
      <c r="I69" t="str">
        <f>IF(ISBLANK('Sample Namen'!B59),"","Resistance")</f>
        <v/>
      </c>
      <c r="K69" t="str">
        <f>IF(ISBLANK('Sample Namen'!C59),"",'Sample Namen'!C59)</f>
        <v/>
      </c>
      <c r="L69" t="str">
        <f>IF(ISBLANK('Sample Namen'!D59),"",'Sample Namen'!D59)</f>
        <v/>
      </c>
      <c r="M69" t="str">
        <f>IF(ISBLANK('Sample Namen'!E59),"",'Sample Namen'!E59)</f>
        <v/>
      </c>
      <c r="N69" t="str">
        <f>IF(ISBLANK('Sample Namen'!F59),"",'Sample Namen'!F59)</f>
        <v/>
      </c>
      <c r="O69" t="str">
        <f>IF(ISBLANK('Sample Namen'!B59),"","n")</f>
        <v/>
      </c>
    </row>
    <row r="70" spans="1:15" x14ac:dyDescent="0.25">
      <c r="A70" t="str">
        <f>IF(ISBLANK('Sample Namen'!B60),"",'MiSeq SampleSheet'!A69+1)</f>
        <v/>
      </c>
      <c r="B70" t="str">
        <f>IF(ISBLANK('Sample Namen'!B60),"",'Sample Namen'!B60)</f>
        <v/>
      </c>
      <c r="E70" t="str">
        <f>IF(ISBLANK('Sample Namen'!L60),"",'Sample Namen'!L60)</f>
        <v/>
      </c>
      <c r="F70" t="str">
        <f>IF(ISBLANK('Sample Namen'!M60),"",'Sample Namen'!M60)</f>
        <v/>
      </c>
      <c r="G70" t="str">
        <f>IF(ISBLANK('Sample Namen'!O60),"",'Sample Namen'!O60)</f>
        <v/>
      </c>
      <c r="H70" t="str">
        <f>IF(ISBLANK('Sample Namen'!P60),"",'Sample Namen'!P60)</f>
        <v/>
      </c>
      <c r="I70" t="str">
        <f>IF(ISBLANK('Sample Namen'!B60),"","Resistance")</f>
        <v/>
      </c>
      <c r="K70" t="str">
        <f>IF(ISBLANK('Sample Namen'!C60),"",'Sample Namen'!C60)</f>
        <v/>
      </c>
      <c r="L70" t="str">
        <f>IF(ISBLANK('Sample Namen'!D60),"",'Sample Namen'!D60)</f>
        <v/>
      </c>
      <c r="M70" t="str">
        <f>IF(ISBLANK('Sample Namen'!E60),"",'Sample Namen'!E60)</f>
        <v/>
      </c>
      <c r="N70" t="str">
        <f>IF(ISBLANK('Sample Namen'!F60),"",'Sample Namen'!F60)</f>
        <v/>
      </c>
      <c r="O70" t="str">
        <f>IF(ISBLANK('Sample Namen'!B60),"","n")</f>
        <v/>
      </c>
    </row>
    <row r="71" spans="1:15" x14ac:dyDescent="0.25">
      <c r="A71" t="str">
        <f>IF(ISBLANK('Sample Namen'!B61),"",'MiSeq SampleSheet'!A70+1)</f>
        <v/>
      </c>
      <c r="B71" t="str">
        <f>IF(ISBLANK('Sample Namen'!B61),"",'Sample Namen'!B61)</f>
        <v/>
      </c>
      <c r="E71" t="str">
        <f>IF(ISBLANK('Sample Namen'!L61),"",'Sample Namen'!L61)</f>
        <v/>
      </c>
      <c r="F71" t="str">
        <f>IF(ISBLANK('Sample Namen'!M61),"",'Sample Namen'!M61)</f>
        <v/>
      </c>
      <c r="G71" t="str">
        <f>IF(ISBLANK('Sample Namen'!O61),"",'Sample Namen'!O61)</f>
        <v/>
      </c>
      <c r="H71" t="str">
        <f>IF(ISBLANK('Sample Namen'!P61),"",'Sample Namen'!P61)</f>
        <v/>
      </c>
      <c r="I71" t="str">
        <f>IF(ISBLANK('Sample Namen'!B61),"","Resistance")</f>
        <v/>
      </c>
      <c r="K71" t="str">
        <f>IF(ISBLANK('Sample Namen'!C61),"",'Sample Namen'!C61)</f>
        <v/>
      </c>
      <c r="L71" t="str">
        <f>IF(ISBLANK('Sample Namen'!D61),"",'Sample Namen'!D61)</f>
        <v/>
      </c>
      <c r="M71" t="str">
        <f>IF(ISBLANK('Sample Namen'!E61),"",'Sample Namen'!E61)</f>
        <v/>
      </c>
      <c r="N71" t="str">
        <f>IF(ISBLANK('Sample Namen'!F61),"",'Sample Namen'!F61)</f>
        <v/>
      </c>
      <c r="O71" t="str">
        <f>IF(ISBLANK('Sample Namen'!B61),"","n")</f>
        <v/>
      </c>
    </row>
    <row r="72" spans="1:15" x14ac:dyDescent="0.25">
      <c r="A72" t="str">
        <f>IF(ISBLANK('Sample Namen'!B62),"",'MiSeq SampleSheet'!A71+1)</f>
        <v/>
      </c>
      <c r="B72" t="str">
        <f>IF(ISBLANK('Sample Namen'!B62),"",'Sample Namen'!B62)</f>
        <v/>
      </c>
      <c r="E72" t="str">
        <f>IF(ISBLANK('Sample Namen'!L62),"",'Sample Namen'!L62)</f>
        <v/>
      </c>
      <c r="F72" t="str">
        <f>IF(ISBLANK('Sample Namen'!M62),"",'Sample Namen'!M62)</f>
        <v/>
      </c>
      <c r="G72" t="str">
        <f>IF(ISBLANK('Sample Namen'!O62),"",'Sample Namen'!O62)</f>
        <v/>
      </c>
      <c r="H72" t="str">
        <f>IF(ISBLANK('Sample Namen'!P62),"",'Sample Namen'!P62)</f>
        <v/>
      </c>
      <c r="I72" t="str">
        <f>IF(ISBLANK('Sample Namen'!B62),"","Resistance")</f>
        <v/>
      </c>
      <c r="K72" t="str">
        <f>IF(ISBLANK('Sample Namen'!C62),"",'Sample Namen'!C62)</f>
        <v/>
      </c>
      <c r="L72" t="str">
        <f>IF(ISBLANK('Sample Namen'!D62),"",'Sample Namen'!D62)</f>
        <v/>
      </c>
      <c r="M72" t="str">
        <f>IF(ISBLANK('Sample Namen'!E62),"",'Sample Namen'!E62)</f>
        <v/>
      </c>
      <c r="N72" t="str">
        <f>IF(ISBLANK('Sample Namen'!F62),"",'Sample Namen'!F62)</f>
        <v/>
      </c>
      <c r="O72" t="str">
        <f>IF(ISBLANK('Sample Namen'!B62),"","n")</f>
        <v/>
      </c>
    </row>
    <row r="73" spans="1:15" x14ac:dyDescent="0.25">
      <c r="A73" t="str">
        <f>IF(ISBLANK('Sample Namen'!B63),"",'MiSeq SampleSheet'!A72+1)</f>
        <v/>
      </c>
      <c r="B73" t="str">
        <f>IF(ISBLANK('Sample Namen'!B63),"",'Sample Namen'!B63)</f>
        <v/>
      </c>
      <c r="E73" t="str">
        <f>IF(ISBLANK('Sample Namen'!L63),"",'Sample Namen'!L63)</f>
        <v/>
      </c>
      <c r="F73" t="str">
        <f>IF(ISBLANK('Sample Namen'!M63),"",'Sample Namen'!M63)</f>
        <v/>
      </c>
      <c r="G73" t="str">
        <f>IF(ISBLANK('Sample Namen'!O63),"",'Sample Namen'!O63)</f>
        <v/>
      </c>
      <c r="H73" t="str">
        <f>IF(ISBLANK('Sample Namen'!P63),"",'Sample Namen'!P63)</f>
        <v/>
      </c>
      <c r="I73" t="str">
        <f>IF(ISBLANK('Sample Namen'!B63),"","Resistance")</f>
        <v/>
      </c>
      <c r="K73" t="str">
        <f>IF(ISBLANK('Sample Namen'!C63),"",'Sample Namen'!C63)</f>
        <v/>
      </c>
      <c r="L73" t="str">
        <f>IF(ISBLANK('Sample Namen'!D63),"",'Sample Namen'!D63)</f>
        <v/>
      </c>
      <c r="M73" t="str">
        <f>IF(ISBLANK('Sample Namen'!E63),"",'Sample Namen'!E63)</f>
        <v/>
      </c>
      <c r="N73" t="str">
        <f>IF(ISBLANK('Sample Namen'!F63),"",'Sample Namen'!F63)</f>
        <v/>
      </c>
      <c r="O73" t="str">
        <f>IF(ISBLANK('Sample Namen'!B63),"","n")</f>
        <v/>
      </c>
    </row>
    <row r="74" spans="1:15" x14ac:dyDescent="0.25">
      <c r="A74" t="str">
        <f>IF(ISBLANK('Sample Namen'!B64),"",'MiSeq SampleSheet'!A73+1)</f>
        <v/>
      </c>
      <c r="B74" t="str">
        <f>IF(ISBLANK('Sample Namen'!B64),"",'Sample Namen'!B64)</f>
        <v/>
      </c>
      <c r="E74" t="str">
        <f>IF(ISBLANK('Sample Namen'!L64),"",'Sample Namen'!L64)</f>
        <v/>
      </c>
      <c r="F74" t="str">
        <f>IF(ISBLANK('Sample Namen'!M64),"",'Sample Namen'!M64)</f>
        <v/>
      </c>
      <c r="G74" t="str">
        <f>IF(ISBLANK('Sample Namen'!O64),"",'Sample Namen'!O64)</f>
        <v/>
      </c>
      <c r="H74" t="str">
        <f>IF(ISBLANK('Sample Namen'!P64),"",'Sample Namen'!P64)</f>
        <v/>
      </c>
      <c r="I74" t="str">
        <f>IF(ISBLANK('Sample Namen'!B64),"","Resistance")</f>
        <v/>
      </c>
      <c r="K74" t="str">
        <f>IF(ISBLANK('Sample Namen'!C64),"",'Sample Namen'!C64)</f>
        <v/>
      </c>
      <c r="L74" t="str">
        <f>IF(ISBLANK('Sample Namen'!D64),"",'Sample Namen'!D64)</f>
        <v/>
      </c>
      <c r="M74" t="str">
        <f>IF(ISBLANK('Sample Namen'!E64),"",'Sample Namen'!E64)</f>
        <v/>
      </c>
      <c r="N74" t="str">
        <f>IF(ISBLANK('Sample Namen'!F64),"",'Sample Namen'!F64)</f>
        <v/>
      </c>
      <c r="O74" t="str">
        <f>IF(ISBLANK('Sample Namen'!B64),"","n")</f>
        <v/>
      </c>
    </row>
    <row r="75" spans="1:15" x14ac:dyDescent="0.25">
      <c r="A75" t="str">
        <f>IF(ISBLANK('Sample Namen'!B65),"",'MiSeq SampleSheet'!A74+1)</f>
        <v/>
      </c>
      <c r="B75" t="str">
        <f>IF(ISBLANK('Sample Namen'!B65),"",'Sample Namen'!B65)</f>
        <v/>
      </c>
      <c r="E75" t="str">
        <f>IF(ISBLANK('Sample Namen'!L65),"",'Sample Namen'!L65)</f>
        <v/>
      </c>
      <c r="F75" t="str">
        <f>IF(ISBLANK('Sample Namen'!M65),"",'Sample Namen'!M65)</f>
        <v/>
      </c>
      <c r="G75" t="str">
        <f>IF(ISBLANK('Sample Namen'!O65),"",'Sample Namen'!O65)</f>
        <v/>
      </c>
      <c r="H75" t="str">
        <f>IF(ISBLANK('Sample Namen'!P65),"",'Sample Namen'!P65)</f>
        <v/>
      </c>
      <c r="I75" t="str">
        <f>IF(ISBLANK('Sample Namen'!B65),"","Resistance")</f>
        <v/>
      </c>
      <c r="K75" t="str">
        <f>IF(ISBLANK('Sample Namen'!C65),"",'Sample Namen'!C65)</f>
        <v/>
      </c>
      <c r="L75" t="str">
        <f>IF(ISBLANK('Sample Namen'!D65),"",'Sample Namen'!D65)</f>
        <v/>
      </c>
      <c r="M75" t="str">
        <f>IF(ISBLANK('Sample Namen'!E65),"",'Sample Namen'!E65)</f>
        <v/>
      </c>
      <c r="N75" t="str">
        <f>IF(ISBLANK('Sample Namen'!F65),"",'Sample Namen'!F65)</f>
        <v/>
      </c>
      <c r="O75" t="str">
        <f>IF(ISBLANK('Sample Namen'!B65),"","n")</f>
        <v/>
      </c>
    </row>
    <row r="76" spans="1:15" x14ac:dyDescent="0.25">
      <c r="A76" t="str">
        <f>IF(ISBLANK('Sample Namen'!B66),"",'MiSeq SampleSheet'!A75+1)</f>
        <v/>
      </c>
      <c r="B76" t="str">
        <f>IF(ISBLANK('Sample Namen'!B66),"",'Sample Namen'!B66)</f>
        <v/>
      </c>
      <c r="E76" t="str">
        <f>IF(ISBLANK('Sample Namen'!L66),"",'Sample Namen'!L66)</f>
        <v/>
      </c>
      <c r="F76" t="str">
        <f>IF(ISBLANK('Sample Namen'!M66),"",'Sample Namen'!M66)</f>
        <v/>
      </c>
      <c r="G76" t="str">
        <f>IF(ISBLANK('Sample Namen'!O66),"",'Sample Namen'!O66)</f>
        <v/>
      </c>
      <c r="H76" t="str">
        <f>IF(ISBLANK('Sample Namen'!P66),"",'Sample Namen'!P66)</f>
        <v/>
      </c>
      <c r="I76" t="str">
        <f>IF(ISBLANK('Sample Namen'!B66),"","Resistance")</f>
        <v/>
      </c>
      <c r="K76" t="str">
        <f>IF(ISBLANK('Sample Namen'!C66),"",'Sample Namen'!C66)</f>
        <v/>
      </c>
      <c r="L76" t="str">
        <f>IF(ISBLANK('Sample Namen'!D66),"",'Sample Namen'!D66)</f>
        <v/>
      </c>
      <c r="M76" t="str">
        <f>IF(ISBLANK('Sample Namen'!E66),"",'Sample Namen'!E66)</f>
        <v/>
      </c>
      <c r="N76" t="str">
        <f>IF(ISBLANK('Sample Namen'!F66),"",'Sample Namen'!F66)</f>
        <v/>
      </c>
      <c r="O76" t="str">
        <f>IF(ISBLANK('Sample Namen'!B66),"","n")</f>
        <v/>
      </c>
    </row>
    <row r="77" spans="1:15" x14ac:dyDescent="0.25">
      <c r="A77" t="str">
        <f>IF(ISBLANK('Sample Namen'!B67),"",'MiSeq SampleSheet'!A76+1)</f>
        <v/>
      </c>
      <c r="B77" t="str">
        <f>IF(ISBLANK('Sample Namen'!B67),"",'Sample Namen'!B67)</f>
        <v/>
      </c>
      <c r="E77" t="str">
        <f>IF(ISBLANK('Sample Namen'!L67),"",'Sample Namen'!L67)</f>
        <v/>
      </c>
      <c r="F77" t="str">
        <f>IF(ISBLANK('Sample Namen'!M67),"",'Sample Namen'!M67)</f>
        <v/>
      </c>
      <c r="G77" t="str">
        <f>IF(ISBLANK('Sample Namen'!O67),"",'Sample Namen'!O67)</f>
        <v/>
      </c>
      <c r="H77" t="str">
        <f>IF(ISBLANK('Sample Namen'!P67),"",'Sample Namen'!P67)</f>
        <v/>
      </c>
      <c r="I77" t="str">
        <f>IF(ISBLANK('Sample Namen'!B67),"","Resistance")</f>
        <v/>
      </c>
      <c r="K77" t="str">
        <f>IF(ISBLANK('Sample Namen'!C67),"",'Sample Namen'!C67)</f>
        <v/>
      </c>
      <c r="L77" t="str">
        <f>IF(ISBLANK('Sample Namen'!D67),"",'Sample Namen'!D67)</f>
        <v/>
      </c>
      <c r="M77" t="str">
        <f>IF(ISBLANK('Sample Namen'!E67),"",'Sample Namen'!E67)</f>
        <v/>
      </c>
      <c r="N77" t="str">
        <f>IF(ISBLANK('Sample Namen'!F67),"",'Sample Namen'!F67)</f>
        <v/>
      </c>
      <c r="O77" t="str">
        <f>IF(ISBLANK('Sample Namen'!B67),"","n")</f>
        <v/>
      </c>
    </row>
    <row r="78" spans="1:15" x14ac:dyDescent="0.25">
      <c r="A78" t="str">
        <f>IF(ISBLANK('Sample Namen'!B68),"",'MiSeq SampleSheet'!A77+1)</f>
        <v/>
      </c>
      <c r="B78" t="str">
        <f>IF(ISBLANK('Sample Namen'!B68),"",'Sample Namen'!B68)</f>
        <v/>
      </c>
      <c r="E78" t="str">
        <f>IF(ISBLANK('Sample Namen'!L68),"",'Sample Namen'!L68)</f>
        <v/>
      </c>
      <c r="F78" t="str">
        <f>IF(ISBLANK('Sample Namen'!M68),"",'Sample Namen'!M68)</f>
        <v/>
      </c>
      <c r="G78" t="str">
        <f>IF(ISBLANK('Sample Namen'!O68),"",'Sample Namen'!O68)</f>
        <v/>
      </c>
      <c r="H78" t="str">
        <f>IF(ISBLANK('Sample Namen'!P68),"",'Sample Namen'!P68)</f>
        <v/>
      </c>
      <c r="I78" t="str">
        <f>IF(ISBLANK('Sample Namen'!B68),"","Resistance")</f>
        <v/>
      </c>
      <c r="K78" t="str">
        <f>IF(ISBLANK('Sample Namen'!C68),"",'Sample Namen'!C68)</f>
        <v/>
      </c>
      <c r="L78" t="str">
        <f>IF(ISBLANK('Sample Namen'!D68),"",'Sample Namen'!D68)</f>
        <v/>
      </c>
      <c r="M78" t="str">
        <f>IF(ISBLANK('Sample Namen'!E68),"",'Sample Namen'!E68)</f>
        <v/>
      </c>
      <c r="N78" t="str">
        <f>IF(ISBLANK('Sample Namen'!F68),"",'Sample Namen'!F68)</f>
        <v/>
      </c>
      <c r="O78" t="str">
        <f>IF(ISBLANK('Sample Namen'!B68),"","n")</f>
        <v/>
      </c>
    </row>
    <row r="79" spans="1:15" x14ac:dyDescent="0.25">
      <c r="A79" t="str">
        <f>IF(ISBLANK('Sample Namen'!B69),"",'MiSeq SampleSheet'!A78+1)</f>
        <v/>
      </c>
      <c r="B79" t="str">
        <f>IF(ISBLANK('Sample Namen'!B69),"",'Sample Namen'!B69)</f>
        <v/>
      </c>
      <c r="E79" t="str">
        <f>IF(ISBLANK('Sample Namen'!L69),"",'Sample Namen'!L69)</f>
        <v/>
      </c>
      <c r="F79" t="str">
        <f>IF(ISBLANK('Sample Namen'!M69),"",'Sample Namen'!M69)</f>
        <v/>
      </c>
      <c r="G79" t="str">
        <f>IF(ISBLANK('Sample Namen'!O69),"",'Sample Namen'!O69)</f>
        <v/>
      </c>
      <c r="H79" t="str">
        <f>IF(ISBLANK('Sample Namen'!P69),"",'Sample Namen'!P69)</f>
        <v/>
      </c>
      <c r="I79" t="str">
        <f>IF(ISBLANK('Sample Namen'!B69),"","Resistance")</f>
        <v/>
      </c>
      <c r="K79" t="str">
        <f>IF(ISBLANK('Sample Namen'!C69),"",'Sample Namen'!C69)</f>
        <v/>
      </c>
      <c r="L79" t="str">
        <f>IF(ISBLANK('Sample Namen'!D69),"",'Sample Namen'!D69)</f>
        <v/>
      </c>
      <c r="M79" t="str">
        <f>IF(ISBLANK('Sample Namen'!E69),"",'Sample Namen'!E69)</f>
        <v/>
      </c>
      <c r="N79" t="str">
        <f>IF(ISBLANK('Sample Namen'!F69),"",'Sample Namen'!F69)</f>
        <v/>
      </c>
      <c r="O79" t="str">
        <f>IF(ISBLANK('Sample Namen'!B69),"","n")</f>
        <v/>
      </c>
    </row>
    <row r="80" spans="1:15" x14ac:dyDescent="0.25">
      <c r="A80" t="str">
        <f>IF(ISBLANK('Sample Namen'!B70),"",'MiSeq SampleSheet'!A79+1)</f>
        <v/>
      </c>
      <c r="B80" t="str">
        <f>IF(ISBLANK('Sample Namen'!B70),"",'Sample Namen'!B70)</f>
        <v/>
      </c>
      <c r="E80" t="str">
        <f>IF(ISBLANK('Sample Namen'!L70),"",'Sample Namen'!L70)</f>
        <v/>
      </c>
      <c r="F80" t="str">
        <f>IF(ISBLANK('Sample Namen'!M70),"",'Sample Namen'!M70)</f>
        <v/>
      </c>
      <c r="G80" t="str">
        <f>IF(ISBLANK('Sample Namen'!O70),"",'Sample Namen'!O70)</f>
        <v/>
      </c>
      <c r="H80" t="str">
        <f>IF(ISBLANK('Sample Namen'!P70),"",'Sample Namen'!P70)</f>
        <v/>
      </c>
      <c r="I80" t="str">
        <f>IF(ISBLANK('Sample Namen'!B70),"","Resistance")</f>
        <v/>
      </c>
      <c r="K80" t="str">
        <f>IF(ISBLANK('Sample Namen'!C70),"",'Sample Namen'!C70)</f>
        <v/>
      </c>
      <c r="L80" t="str">
        <f>IF(ISBLANK('Sample Namen'!D70),"",'Sample Namen'!D70)</f>
        <v/>
      </c>
      <c r="M80" t="str">
        <f>IF(ISBLANK('Sample Namen'!E70),"",'Sample Namen'!E70)</f>
        <v/>
      </c>
      <c r="N80" t="str">
        <f>IF(ISBLANK('Sample Namen'!F70),"",'Sample Namen'!F70)</f>
        <v/>
      </c>
      <c r="O80" t="str">
        <f>IF(ISBLANK('Sample Namen'!B70),"","n")</f>
        <v/>
      </c>
    </row>
    <row r="81" spans="1:15" x14ac:dyDescent="0.25">
      <c r="A81" t="str">
        <f>IF(ISBLANK('Sample Namen'!B71),"",'MiSeq SampleSheet'!A80+1)</f>
        <v/>
      </c>
      <c r="B81" t="str">
        <f>IF(ISBLANK('Sample Namen'!B71),"",'Sample Namen'!B71)</f>
        <v/>
      </c>
      <c r="E81" t="str">
        <f>IF(ISBLANK('Sample Namen'!L71),"",'Sample Namen'!L71)</f>
        <v/>
      </c>
      <c r="F81" t="str">
        <f>IF(ISBLANK('Sample Namen'!M71),"",'Sample Namen'!M71)</f>
        <v/>
      </c>
      <c r="G81" t="str">
        <f>IF(ISBLANK('Sample Namen'!O71),"",'Sample Namen'!O71)</f>
        <v/>
      </c>
      <c r="H81" t="str">
        <f>IF(ISBLANK('Sample Namen'!P71),"",'Sample Namen'!P71)</f>
        <v/>
      </c>
      <c r="I81" t="str">
        <f>IF(ISBLANK('Sample Namen'!B71),"","Resistance")</f>
        <v/>
      </c>
      <c r="K81" t="str">
        <f>IF(ISBLANK('Sample Namen'!C71),"",'Sample Namen'!C71)</f>
        <v/>
      </c>
      <c r="L81" t="str">
        <f>IF(ISBLANK('Sample Namen'!D71),"",'Sample Namen'!D71)</f>
        <v/>
      </c>
      <c r="M81" t="str">
        <f>IF(ISBLANK('Sample Namen'!E71),"",'Sample Namen'!E71)</f>
        <v/>
      </c>
      <c r="N81" t="str">
        <f>IF(ISBLANK('Sample Namen'!F71),"",'Sample Namen'!F71)</f>
        <v/>
      </c>
      <c r="O81" t="str">
        <f>IF(ISBLANK('Sample Namen'!B71),"","n")</f>
        <v/>
      </c>
    </row>
    <row r="82" spans="1:15" x14ac:dyDescent="0.25">
      <c r="A82" t="str">
        <f>IF(ISBLANK('Sample Namen'!B72),"",'MiSeq SampleSheet'!A81+1)</f>
        <v/>
      </c>
      <c r="B82" t="str">
        <f>IF(ISBLANK('Sample Namen'!B72),"",'Sample Namen'!B72)</f>
        <v/>
      </c>
      <c r="E82" t="str">
        <f>IF(ISBLANK('Sample Namen'!L72),"",'Sample Namen'!L72)</f>
        <v/>
      </c>
      <c r="F82" t="str">
        <f>IF(ISBLANK('Sample Namen'!M72),"",'Sample Namen'!M72)</f>
        <v/>
      </c>
      <c r="G82" t="str">
        <f>IF(ISBLANK('Sample Namen'!O72),"",'Sample Namen'!O72)</f>
        <v/>
      </c>
      <c r="H82" t="str">
        <f>IF(ISBLANK('Sample Namen'!P72),"",'Sample Namen'!P72)</f>
        <v/>
      </c>
      <c r="I82" t="str">
        <f>IF(ISBLANK('Sample Namen'!B72),"","Resistance")</f>
        <v/>
      </c>
      <c r="K82" t="str">
        <f>IF(ISBLANK('Sample Namen'!C72),"",'Sample Namen'!C72)</f>
        <v/>
      </c>
      <c r="L82" t="str">
        <f>IF(ISBLANK('Sample Namen'!D72),"",'Sample Namen'!D72)</f>
        <v/>
      </c>
      <c r="M82" t="str">
        <f>IF(ISBLANK('Sample Namen'!E72),"",'Sample Namen'!E72)</f>
        <v/>
      </c>
      <c r="N82" t="str">
        <f>IF(ISBLANK('Sample Namen'!F72),"",'Sample Namen'!F72)</f>
        <v/>
      </c>
      <c r="O82" t="str">
        <f>IF(ISBLANK('Sample Namen'!B72),"","n")</f>
        <v/>
      </c>
    </row>
    <row r="83" spans="1:15" x14ac:dyDescent="0.25">
      <c r="A83" t="str">
        <f>IF(ISBLANK('Sample Namen'!B73),"",'MiSeq SampleSheet'!A82+1)</f>
        <v/>
      </c>
      <c r="B83" t="str">
        <f>IF(ISBLANK('Sample Namen'!B73),"",'Sample Namen'!B73)</f>
        <v/>
      </c>
      <c r="E83" t="str">
        <f>IF(ISBLANK('Sample Namen'!L73),"",'Sample Namen'!L73)</f>
        <v/>
      </c>
      <c r="F83" t="str">
        <f>IF(ISBLANK('Sample Namen'!M73),"",'Sample Namen'!M73)</f>
        <v/>
      </c>
      <c r="G83" t="str">
        <f>IF(ISBLANK('Sample Namen'!O73),"",'Sample Namen'!O73)</f>
        <v/>
      </c>
      <c r="H83" t="str">
        <f>IF(ISBLANK('Sample Namen'!P73),"",'Sample Namen'!P73)</f>
        <v/>
      </c>
      <c r="I83" t="str">
        <f>IF(ISBLANK('Sample Namen'!B73),"","Resistance")</f>
        <v/>
      </c>
      <c r="K83" t="str">
        <f>IF(ISBLANK('Sample Namen'!C73),"",'Sample Namen'!C73)</f>
        <v/>
      </c>
      <c r="L83" t="str">
        <f>IF(ISBLANK('Sample Namen'!D73),"",'Sample Namen'!D73)</f>
        <v/>
      </c>
      <c r="M83" t="str">
        <f>IF(ISBLANK('Sample Namen'!E73),"",'Sample Namen'!E73)</f>
        <v/>
      </c>
      <c r="N83" t="str">
        <f>IF(ISBLANK('Sample Namen'!F73),"",'Sample Namen'!F73)</f>
        <v/>
      </c>
      <c r="O83" t="str">
        <f>IF(ISBLANK('Sample Namen'!B73),"","n")</f>
        <v/>
      </c>
    </row>
    <row r="84" spans="1:15" x14ac:dyDescent="0.25">
      <c r="A84" t="str">
        <f>IF(ISBLANK('Sample Namen'!B74),"",'MiSeq SampleSheet'!A83+1)</f>
        <v/>
      </c>
      <c r="B84" t="str">
        <f>IF(ISBLANK('Sample Namen'!B74),"",'Sample Namen'!B74)</f>
        <v/>
      </c>
      <c r="E84" t="str">
        <f>IF(ISBLANK('Sample Namen'!L74),"",'Sample Namen'!L74)</f>
        <v/>
      </c>
      <c r="F84" t="str">
        <f>IF(ISBLANK('Sample Namen'!M74),"",'Sample Namen'!M74)</f>
        <v/>
      </c>
      <c r="G84" t="str">
        <f>IF(ISBLANK('Sample Namen'!O74),"",'Sample Namen'!O74)</f>
        <v/>
      </c>
      <c r="H84" t="str">
        <f>IF(ISBLANK('Sample Namen'!P74),"",'Sample Namen'!P74)</f>
        <v/>
      </c>
      <c r="I84" t="str">
        <f>IF(ISBLANK('Sample Namen'!B74),"","Resistance")</f>
        <v/>
      </c>
      <c r="K84" t="str">
        <f>IF(ISBLANK('Sample Namen'!C74),"",'Sample Namen'!C74)</f>
        <v/>
      </c>
      <c r="L84" t="str">
        <f>IF(ISBLANK('Sample Namen'!D74),"",'Sample Namen'!D74)</f>
        <v/>
      </c>
      <c r="M84" t="str">
        <f>IF(ISBLANK('Sample Namen'!E74),"",'Sample Namen'!E74)</f>
        <v/>
      </c>
      <c r="N84" t="str">
        <f>IF(ISBLANK('Sample Namen'!F74),"",'Sample Namen'!F74)</f>
        <v/>
      </c>
      <c r="O84" t="str">
        <f>IF(ISBLANK('Sample Namen'!B74),"","n")</f>
        <v/>
      </c>
    </row>
    <row r="85" spans="1:15" x14ac:dyDescent="0.25">
      <c r="A85" t="str">
        <f>IF(ISBLANK('Sample Namen'!B75),"",'MiSeq SampleSheet'!A84+1)</f>
        <v/>
      </c>
      <c r="B85" t="str">
        <f>IF(ISBLANK('Sample Namen'!B75),"",'Sample Namen'!B75)</f>
        <v/>
      </c>
      <c r="E85" t="str">
        <f>IF(ISBLANK('Sample Namen'!L75),"",'Sample Namen'!L75)</f>
        <v/>
      </c>
      <c r="F85" t="str">
        <f>IF(ISBLANK('Sample Namen'!M75),"",'Sample Namen'!M75)</f>
        <v/>
      </c>
      <c r="G85" t="str">
        <f>IF(ISBLANK('Sample Namen'!O75),"",'Sample Namen'!O75)</f>
        <v/>
      </c>
      <c r="H85" t="str">
        <f>IF(ISBLANK('Sample Namen'!P75),"",'Sample Namen'!P75)</f>
        <v/>
      </c>
      <c r="I85" t="str">
        <f>IF(ISBLANK('Sample Namen'!B75),"","Resistance")</f>
        <v/>
      </c>
      <c r="K85" t="str">
        <f>IF(ISBLANK('Sample Namen'!C75),"",'Sample Namen'!C75)</f>
        <v/>
      </c>
      <c r="L85" t="str">
        <f>IF(ISBLANK('Sample Namen'!D75),"",'Sample Namen'!D75)</f>
        <v/>
      </c>
      <c r="M85" t="str">
        <f>IF(ISBLANK('Sample Namen'!E75),"",'Sample Namen'!E75)</f>
        <v/>
      </c>
      <c r="N85" t="str">
        <f>IF(ISBLANK('Sample Namen'!F75),"",'Sample Namen'!F75)</f>
        <v/>
      </c>
      <c r="O85" t="str">
        <f>IF(ISBLANK('Sample Namen'!B75),"","n")</f>
        <v/>
      </c>
    </row>
    <row r="86" spans="1:15" x14ac:dyDescent="0.25">
      <c r="A86" t="str">
        <f>IF(ISBLANK('Sample Namen'!B76),"",'MiSeq SampleSheet'!A85+1)</f>
        <v/>
      </c>
      <c r="B86" t="str">
        <f>IF(ISBLANK('Sample Namen'!B76),"",'Sample Namen'!B76)</f>
        <v/>
      </c>
      <c r="E86" t="str">
        <f>IF(ISBLANK('Sample Namen'!L76),"",'Sample Namen'!L76)</f>
        <v/>
      </c>
      <c r="F86" t="str">
        <f>IF(ISBLANK('Sample Namen'!M76),"",'Sample Namen'!M76)</f>
        <v/>
      </c>
      <c r="G86" t="str">
        <f>IF(ISBLANK('Sample Namen'!O76),"",'Sample Namen'!O76)</f>
        <v/>
      </c>
      <c r="H86" t="str">
        <f>IF(ISBLANK('Sample Namen'!P76),"",'Sample Namen'!P76)</f>
        <v/>
      </c>
      <c r="I86" t="str">
        <f>IF(ISBLANK('Sample Namen'!B76),"","Resistance")</f>
        <v/>
      </c>
      <c r="K86" t="str">
        <f>IF(ISBLANK('Sample Namen'!C76),"",'Sample Namen'!C76)</f>
        <v/>
      </c>
      <c r="L86" t="str">
        <f>IF(ISBLANK('Sample Namen'!D76),"",'Sample Namen'!D76)</f>
        <v/>
      </c>
      <c r="M86" t="str">
        <f>IF(ISBLANK('Sample Namen'!E76),"",'Sample Namen'!E76)</f>
        <v/>
      </c>
      <c r="N86" t="str">
        <f>IF(ISBLANK('Sample Namen'!F76),"",'Sample Namen'!F76)</f>
        <v/>
      </c>
      <c r="O86" t="str">
        <f>IF(ISBLANK('Sample Namen'!B76),"","n")</f>
        <v/>
      </c>
    </row>
    <row r="87" spans="1:15" x14ac:dyDescent="0.25">
      <c r="A87" t="str">
        <f>IF(ISBLANK('Sample Namen'!B77),"",'MiSeq SampleSheet'!A86+1)</f>
        <v/>
      </c>
      <c r="B87" t="str">
        <f>IF(ISBLANK('Sample Namen'!B77),"",'Sample Namen'!B77)</f>
        <v/>
      </c>
      <c r="E87" t="str">
        <f>IF(ISBLANK('Sample Namen'!L77),"",'Sample Namen'!L77)</f>
        <v/>
      </c>
      <c r="F87" t="str">
        <f>IF(ISBLANK('Sample Namen'!M77),"",'Sample Namen'!M77)</f>
        <v/>
      </c>
      <c r="G87" t="str">
        <f>IF(ISBLANK('Sample Namen'!O77),"",'Sample Namen'!O77)</f>
        <v/>
      </c>
      <c r="H87" t="str">
        <f>IF(ISBLANK('Sample Namen'!P77),"",'Sample Namen'!P77)</f>
        <v/>
      </c>
      <c r="I87" t="str">
        <f>IF(ISBLANK('Sample Namen'!B77),"","Resistance")</f>
        <v/>
      </c>
      <c r="K87" t="str">
        <f>IF(ISBLANK('Sample Namen'!C77),"",'Sample Namen'!C77)</f>
        <v/>
      </c>
      <c r="L87" t="str">
        <f>IF(ISBLANK('Sample Namen'!D77),"",'Sample Namen'!D77)</f>
        <v/>
      </c>
      <c r="M87" t="str">
        <f>IF(ISBLANK('Sample Namen'!E77),"",'Sample Namen'!E77)</f>
        <v/>
      </c>
      <c r="N87" t="str">
        <f>IF(ISBLANK('Sample Namen'!F77),"",'Sample Namen'!F77)</f>
        <v/>
      </c>
      <c r="O87" t="str">
        <f>IF(ISBLANK('Sample Namen'!B77),"","n")</f>
        <v/>
      </c>
    </row>
    <row r="88" spans="1:15" x14ac:dyDescent="0.25">
      <c r="A88" t="str">
        <f>IF(ISBLANK('Sample Namen'!B78),"",'MiSeq SampleSheet'!A87+1)</f>
        <v/>
      </c>
      <c r="B88" t="str">
        <f>IF(ISBLANK('Sample Namen'!B78),"",'Sample Namen'!B78)</f>
        <v/>
      </c>
      <c r="E88" t="str">
        <f>IF(ISBLANK('Sample Namen'!L78),"",'Sample Namen'!L78)</f>
        <v/>
      </c>
      <c r="F88" t="str">
        <f>IF(ISBLANK('Sample Namen'!M78),"",'Sample Namen'!M78)</f>
        <v/>
      </c>
      <c r="G88" t="str">
        <f>IF(ISBLANK('Sample Namen'!O78),"",'Sample Namen'!O78)</f>
        <v/>
      </c>
      <c r="H88" t="str">
        <f>IF(ISBLANK('Sample Namen'!P78),"",'Sample Namen'!P78)</f>
        <v/>
      </c>
      <c r="I88" t="str">
        <f>IF(ISBLANK('Sample Namen'!B78),"","Resistance")</f>
        <v/>
      </c>
      <c r="K88" t="str">
        <f>IF(ISBLANK('Sample Namen'!C78),"",'Sample Namen'!C78)</f>
        <v/>
      </c>
      <c r="L88" t="str">
        <f>IF(ISBLANK('Sample Namen'!D78),"",'Sample Namen'!D78)</f>
        <v/>
      </c>
      <c r="M88" t="str">
        <f>IF(ISBLANK('Sample Namen'!E78),"",'Sample Namen'!E78)</f>
        <v/>
      </c>
      <c r="N88" t="str">
        <f>IF(ISBLANK('Sample Namen'!F78),"",'Sample Namen'!F78)</f>
        <v/>
      </c>
      <c r="O88" t="str">
        <f>IF(ISBLANK('Sample Namen'!B78),"","n")</f>
        <v/>
      </c>
    </row>
    <row r="89" spans="1:15" x14ac:dyDescent="0.25">
      <c r="A89" t="str">
        <f>IF(ISBLANK('Sample Namen'!B79),"",'MiSeq SampleSheet'!A88+1)</f>
        <v/>
      </c>
      <c r="B89" t="str">
        <f>IF(ISBLANK('Sample Namen'!B79),"",'Sample Namen'!B79)</f>
        <v/>
      </c>
      <c r="E89" t="str">
        <f>IF(ISBLANK('Sample Namen'!L79),"",'Sample Namen'!L79)</f>
        <v/>
      </c>
      <c r="F89" t="str">
        <f>IF(ISBLANK('Sample Namen'!M79),"",'Sample Namen'!M79)</f>
        <v/>
      </c>
      <c r="G89" t="str">
        <f>IF(ISBLANK('Sample Namen'!O79),"",'Sample Namen'!O79)</f>
        <v/>
      </c>
      <c r="H89" t="str">
        <f>IF(ISBLANK('Sample Namen'!P79),"",'Sample Namen'!P79)</f>
        <v/>
      </c>
      <c r="I89" t="str">
        <f>IF(ISBLANK('Sample Namen'!B79),"","Resistance")</f>
        <v/>
      </c>
      <c r="K89" t="str">
        <f>IF(ISBLANK('Sample Namen'!C79),"",'Sample Namen'!C79)</f>
        <v/>
      </c>
      <c r="L89" t="str">
        <f>IF(ISBLANK('Sample Namen'!D79),"",'Sample Namen'!D79)</f>
        <v/>
      </c>
      <c r="M89" t="str">
        <f>IF(ISBLANK('Sample Namen'!E79),"",'Sample Namen'!E79)</f>
        <v/>
      </c>
      <c r="N89" t="str">
        <f>IF(ISBLANK('Sample Namen'!F79),"",'Sample Namen'!F79)</f>
        <v/>
      </c>
      <c r="O89" t="str">
        <f>IF(ISBLANK('Sample Namen'!B79),"","n")</f>
        <v/>
      </c>
    </row>
    <row r="90" spans="1:15" x14ac:dyDescent="0.25">
      <c r="A90" t="str">
        <f>IF(ISBLANK('Sample Namen'!B80),"",'MiSeq SampleSheet'!A89+1)</f>
        <v/>
      </c>
      <c r="B90" t="str">
        <f>IF(ISBLANK('Sample Namen'!B80),"",'Sample Namen'!B80)</f>
        <v/>
      </c>
      <c r="E90" t="str">
        <f>IF(ISBLANK('Sample Namen'!L80),"",'Sample Namen'!L80)</f>
        <v/>
      </c>
      <c r="F90" t="str">
        <f>IF(ISBLANK('Sample Namen'!M80),"",'Sample Namen'!M80)</f>
        <v/>
      </c>
      <c r="G90" t="str">
        <f>IF(ISBLANK('Sample Namen'!O80),"",'Sample Namen'!O80)</f>
        <v/>
      </c>
      <c r="H90" t="str">
        <f>IF(ISBLANK('Sample Namen'!P80),"",'Sample Namen'!P80)</f>
        <v/>
      </c>
      <c r="I90" t="str">
        <f>IF(ISBLANK('Sample Namen'!B80),"","Resistance")</f>
        <v/>
      </c>
      <c r="K90" t="str">
        <f>IF(ISBLANK('Sample Namen'!C80),"",'Sample Namen'!C80)</f>
        <v/>
      </c>
      <c r="L90" t="str">
        <f>IF(ISBLANK('Sample Namen'!D80),"",'Sample Namen'!D80)</f>
        <v/>
      </c>
      <c r="M90" t="str">
        <f>IF(ISBLANK('Sample Namen'!E80),"",'Sample Namen'!E80)</f>
        <v/>
      </c>
      <c r="N90" t="str">
        <f>IF(ISBLANK('Sample Namen'!F80),"",'Sample Namen'!F80)</f>
        <v/>
      </c>
      <c r="O90" t="str">
        <f>IF(ISBLANK('Sample Namen'!B80),"","n")</f>
        <v/>
      </c>
    </row>
    <row r="91" spans="1:15" x14ac:dyDescent="0.25">
      <c r="A91" t="str">
        <f>IF(ISBLANK('Sample Namen'!B81),"",'MiSeq SampleSheet'!A90+1)</f>
        <v/>
      </c>
      <c r="B91" t="str">
        <f>IF(ISBLANK('Sample Namen'!B81),"",'Sample Namen'!B81)</f>
        <v/>
      </c>
      <c r="E91" t="str">
        <f>IF(ISBLANK('Sample Namen'!L81),"",'Sample Namen'!L81)</f>
        <v/>
      </c>
      <c r="F91" t="str">
        <f>IF(ISBLANK('Sample Namen'!M81),"",'Sample Namen'!M81)</f>
        <v/>
      </c>
      <c r="G91" t="str">
        <f>IF(ISBLANK('Sample Namen'!O81),"",'Sample Namen'!O81)</f>
        <v/>
      </c>
      <c r="H91" t="str">
        <f>IF(ISBLANK('Sample Namen'!P81),"",'Sample Namen'!P81)</f>
        <v/>
      </c>
      <c r="I91" t="str">
        <f>IF(ISBLANK('Sample Namen'!B81),"","Resistance")</f>
        <v/>
      </c>
      <c r="K91" t="str">
        <f>IF(ISBLANK('Sample Namen'!C81),"",'Sample Namen'!C81)</f>
        <v/>
      </c>
      <c r="L91" t="str">
        <f>IF(ISBLANK('Sample Namen'!D81),"",'Sample Namen'!D81)</f>
        <v/>
      </c>
      <c r="M91" t="str">
        <f>IF(ISBLANK('Sample Namen'!E81),"",'Sample Namen'!E81)</f>
        <v/>
      </c>
      <c r="N91" t="str">
        <f>IF(ISBLANK('Sample Namen'!F81),"",'Sample Namen'!F81)</f>
        <v/>
      </c>
      <c r="O91" t="str">
        <f>IF(ISBLANK('Sample Namen'!B81),"","n")</f>
        <v/>
      </c>
    </row>
    <row r="92" spans="1:15" x14ac:dyDescent="0.25">
      <c r="A92" t="str">
        <f>IF(ISBLANK('Sample Namen'!B82),"",'MiSeq SampleSheet'!A91+1)</f>
        <v/>
      </c>
      <c r="B92" t="str">
        <f>IF(ISBLANK('Sample Namen'!B82),"",'Sample Namen'!B82)</f>
        <v/>
      </c>
      <c r="E92" t="str">
        <f>IF(ISBLANK('Sample Namen'!L82),"",'Sample Namen'!L82)</f>
        <v/>
      </c>
      <c r="F92" t="str">
        <f>IF(ISBLANK('Sample Namen'!M82),"",'Sample Namen'!M82)</f>
        <v/>
      </c>
      <c r="G92" t="str">
        <f>IF(ISBLANK('Sample Namen'!O82),"",'Sample Namen'!O82)</f>
        <v/>
      </c>
      <c r="H92" t="str">
        <f>IF(ISBLANK('Sample Namen'!P82),"",'Sample Namen'!P82)</f>
        <v/>
      </c>
      <c r="I92" t="str">
        <f>IF(ISBLANK('Sample Namen'!B82),"","Resistance")</f>
        <v/>
      </c>
      <c r="K92" t="str">
        <f>IF(ISBLANK('Sample Namen'!C82),"",'Sample Namen'!C82)</f>
        <v/>
      </c>
      <c r="L92" t="str">
        <f>IF(ISBLANK('Sample Namen'!D82),"",'Sample Namen'!D82)</f>
        <v/>
      </c>
      <c r="M92" t="str">
        <f>IF(ISBLANK('Sample Namen'!E82),"",'Sample Namen'!E82)</f>
        <v/>
      </c>
      <c r="N92" t="str">
        <f>IF(ISBLANK('Sample Namen'!F82),"",'Sample Namen'!F82)</f>
        <v/>
      </c>
      <c r="O92" t="str">
        <f>IF(ISBLANK('Sample Namen'!B82),"","n")</f>
        <v/>
      </c>
    </row>
    <row r="93" spans="1:15" x14ac:dyDescent="0.25">
      <c r="A93" t="str">
        <f>IF(ISBLANK('Sample Namen'!B83),"",'MiSeq SampleSheet'!A92+1)</f>
        <v/>
      </c>
      <c r="B93" t="str">
        <f>IF(ISBLANK('Sample Namen'!B83),"",'Sample Namen'!B83)</f>
        <v/>
      </c>
      <c r="E93" t="str">
        <f>IF(ISBLANK('Sample Namen'!L83),"",'Sample Namen'!L83)</f>
        <v/>
      </c>
      <c r="F93" t="str">
        <f>IF(ISBLANK('Sample Namen'!M83),"",'Sample Namen'!M83)</f>
        <v/>
      </c>
      <c r="G93" t="str">
        <f>IF(ISBLANK('Sample Namen'!O83),"",'Sample Namen'!O83)</f>
        <v/>
      </c>
      <c r="H93" t="str">
        <f>IF(ISBLANK('Sample Namen'!P83),"",'Sample Namen'!P83)</f>
        <v/>
      </c>
      <c r="I93" t="str">
        <f>IF(ISBLANK('Sample Namen'!B83),"","Resistance")</f>
        <v/>
      </c>
      <c r="K93" t="str">
        <f>IF(ISBLANK('Sample Namen'!C83),"",'Sample Namen'!C83)</f>
        <v/>
      </c>
      <c r="L93" t="str">
        <f>IF(ISBLANK('Sample Namen'!D83),"",'Sample Namen'!D83)</f>
        <v/>
      </c>
      <c r="M93" t="str">
        <f>IF(ISBLANK('Sample Namen'!E83),"",'Sample Namen'!E83)</f>
        <v/>
      </c>
      <c r="N93" t="str">
        <f>IF(ISBLANK('Sample Namen'!F83),"",'Sample Namen'!F83)</f>
        <v/>
      </c>
      <c r="O93" t="str">
        <f>IF(ISBLANK('Sample Namen'!B83),"","n")</f>
        <v/>
      </c>
    </row>
    <row r="94" spans="1:15" x14ac:dyDescent="0.25">
      <c r="A94" t="str">
        <f>IF(ISBLANK('Sample Namen'!B84),"",'MiSeq SampleSheet'!A93+1)</f>
        <v/>
      </c>
      <c r="B94" t="str">
        <f>IF(ISBLANK('Sample Namen'!B84),"",'Sample Namen'!B84)</f>
        <v/>
      </c>
      <c r="E94" t="str">
        <f>IF(ISBLANK('Sample Namen'!L84),"",'Sample Namen'!L84)</f>
        <v/>
      </c>
      <c r="F94" t="str">
        <f>IF(ISBLANK('Sample Namen'!M84),"",'Sample Namen'!M84)</f>
        <v/>
      </c>
      <c r="G94" t="str">
        <f>IF(ISBLANK('Sample Namen'!O84),"",'Sample Namen'!O84)</f>
        <v/>
      </c>
      <c r="H94" t="str">
        <f>IF(ISBLANK('Sample Namen'!P84),"",'Sample Namen'!P84)</f>
        <v/>
      </c>
      <c r="I94" t="str">
        <f>IF(ISBLANK('Sample Namen'!B84),"","Resistance")</f>
        <v/>
      </c>
      <c r="K94" t="str">
        <f>IF(ISBLANK('Sample Namen'!C84),"",'Sample Namen'!C84)</f>
        <v/>
      </c>
      <c r="L94" t="str">
        <f>IF(ISBLANK('Sample Namen'!D84),"",'Sample Namen'!D84)</f>
        <v/>
      </c>
      <c r="M94" t="str">
        <f>IF(ISBLANK('Sample Namen'!E84),"",'Sample Namen'!E84)</f>
        <v/>
      </c>
      <c r="N94" t="str">
        <f>IF(ISBLANK('Sample Namen'!F84),"",'Sample Namen'!F84)</f>
        <v/>
      </c>
      <c r="O94" t="str">
        <f>IF(ISBLANK('Sample Namen'!B84),"","n")</f>
        <v/>
      </c>
    </row>
    <row r="95" spans="1:15" x14ac:dyDescent="0.25">
      <c r="A95" t="str">
        <f>IF(ISBLANK('Sample Namen'!B85),"",'MiSeq SampleSheet'!A94+1)</f>
        <v/>
      </c>
      <c r="B95" t="str">
        <f>IF(ISBLANK('Sample Namen'!B85),"",'Sample Namen'!B85)</f>
        <v/>
      </c>
      <c r="E95" t="str">
        <f>IF(ISBLANK('Sample Namen'!L85),"",'Sample Namen'!L85)</f>
        <v/>
      </c>
      <c r="F95" t="str">
        <f>IF(ISBLANK('Sample Namen'!M85),"",'Sample Namen'!M85)</f>
        <v/>
      </c>
      <c r="G95" t="str">
        <f>IF(ISBLANK('Sample Namen'!O85),"",'Sample Namen'!O85)</f>
        <v/>
      </c>
      <c r="H95" t="str">
        <f>IF(ISBLANK('Sample Namen'!P85),"",'Sample Namen'!P85)</f>
        <v/>
      </c>
      <c r="I95" t="str">
        <f>IF(ISBLANK('Sample Namen'!B85),"","Resistance")</f>
        <v/>
      </c>
      <c r="K95" t="str">
        <f>IF(ISBLANK('Sample Namen'!C85),"",'Sample Namen'!C85)</f>
        <v/>
      </c>
      <c r="L95" t="str">
        <f>IF(ISBLANK('Sample Namen'!D85),"",'Sample Namen'!D85)</f>
        <v/>
      </c>
      <c r="M95" t="str">
        <f>IF(ISBLANK('Sample Namen'!E85),"",'Sample Namen'!E85)</f>
        <v/>
      </c>
      <c r="N95" t="str">
        <f>IF(ISBLANK('Sample Namen'!F85),"",'Sample Namen'!F85)</f>
        <v/>
      </c>
      <c r="O95" t="str">
        <f>IF(ISBLANK('Sample Namen'!B85),"","n")</f>
        <v/>
      </c>
    </row>
    <row r="96" spans="1:15" x14ac:dyDescent="0.25">
      <c r="A96" t="str">
        <f>IF(ISBLANK('Sample Namen'!B86),"",'MiSeq SampleSheet'!A95+1)</f>
        <v/>
      </c>
      <c r="B96" t="str">
        <f>IF(ISBLANK('Sample Namen'!B86),"",'Sample Namen'!B86)</f>
        <v/>
      </c>
      <c r="E96" t="str">
        <f>IF(ISBLANK('Sample Namen'!L86),"",'Sample Namen'!L86)</f>
        <v/>
      </c>
      <c r="F96" t="str">
        <f>IF(ISBLANK('Sample Namen'!M86),"",'Sample Namen'!M86)</f>
        <v/>
      </c>
      <c r="G96" t="str">
        <f>IF(ISBLANK('Sample Namen'!O86),"",'Sample Namen'!O86)</f>
        <v/>
      </c>
      <c r="H96" t="str">
        <f>IF(ISBLANK('Sample Namen'!P86),"",'Sample Namen'!P86)</f>
        <v/>
      </c>
      <c r="I96" t="str">
        <f>IF(ISBLANK('Sample Namen'!B86),"","Resistance")</f>
        <v/>
      </c>
      <c r="K96" t="str">
        <f>IF(ISBLANK('Sample Namen'!C86),"",'Sample Namen'!C86)</f>
        <v/>
      </c>
      <c r="L96" t="str">
        <f>IF(ISBLANK('Sample Namen'!D86),"",'Sample Namen'!D86)</f>
        <v/>
      </c>
      <c r="M96" t="str">
        <f>IF(ISBLANK('Sample Namen'!E86),"",'Sample Namen'!E86)</f>
        <v/>
      </c>
      <c r="N96" t="str">
        <f>IF(ISBLANK('Sample Namen'!F86),"",'Sample Namen'!F86)</f>
        <v/>
      </c>
      <c r="O96" t="str">
        <f>IF(ISBLANK('Sample Namen'!B86),"","n")</f>
        <v/>
      </c>
    </row>
    <row r="97" spans="1:15" x14ac:dyDescent="0.25">
      <c r="A97" t="str">
        <f>IF(ISBLANK('Sample Namen'!B87),"",'MiSeq SampleSheet'!A96+1)</f>
        <v/>
      </c>
      <c r="B97" t="str">
        <f>IF(ISBLANK('Sample Namen'!B87),"",'Sample Namen'!B87)</f>
        <v/>
      </c>
      <c r="E97" t="str">
        <f>IF(ISBLANK('Sample Namen'!L87),"",'Sample Namen'!L87)</f>
        <v/>
      </c>
      <c r="F97" t="str">
        <f>IF(ISBLANK('Sample Namen'!M87),"",'Sample Namen'!M87)</f>
        <v/>
      </c>
      <c r="G97" t="str">
        <f>IF(ISBLANK('Sample Namen'!O87),"",'Sample Namen'!O87)</f>
        <v/>
      </c>
      <c r="H97" t="str">
        <f>IF(ISBLANK('Sample Namen'!P87),"",'Sample Namen'!P87)</f>
        <v/>
      </c>
      <c r="I97" t="str">
        <f>IF(ISBLANK('Sample Namen'!B87),"","Resistance")</f>
        <v/>
      </c>
      <c r="K97" t="str">
        <f>IF(ISBLANK('Sample Namen'!C87),"",'Sample Namen'!C87)</f>
        <v/>
      </c>
      <c r="L97" t="str">
        <f>IF(ISBLANK('Sample Namen'!D87),"",'Sample Namen'!D87)</f>
        <v/>
      </c>
      <c r="M97" t="str">
        <f>IF(ISBLANK('Sample Namen'!E87),"",'Sample Namen'!E87)</f>
        <v/>
      </c>
      <c r="N97" t="str">
        <f>IF(ISBLANK('Sample Namen'!F87),"",'Sample Namen'!F87)</f>
        <v/>
      </c>
      <c r="O97" t="str">
        <f>IF(ISBLANK('Sample Namen'!B87),"","n")</f>
        <v/>
      </c>
    </row>
    <row r="98" spans="1:15" x14ac:dyDescent="0.25">
      <c r="A98" t="str">
        <f>IF(ISBLANK('Sample Namen'!B88),"",'MiSeq SampleSheet'!A97+1)</f>
        <v/>
      </c>
      <c r="B98" t="str">
        <f>IF(ISBLANK('Sample Namen'!B88),"",'Sample Namen'!B88)</f>
        <v/>
      </c>
      <c r="E98" t="str">
        <f>IF(ISBLANK('Sample Namen'!L88),"",'Sample Namen'!L88)</f>
        <v/>
      </c>
      <c r="F98" t="str">
        <f>IF(ISBLANK('Sample Namen'!M88),"",'Sample Namen'!M88)</f>
        <v/>
      </c>
      <c r="G98" t="str">
        <f>IF(ISBLANK('Sample Namen'!O88),"",'Sample Namen'!O88)</f>
        <v/>
      </c>
      <c r="H98" t="str">
        <f>IF(ISBLANK('Sample Namen'!P88),"",'Sample Namen'!P88)</f>
        <v/>
      </c>
      <c r="I98" t="str">
        <f>IF(ISBLANK('Sample Namen'!B88),"","Resistance")</f>
        <v/>
      </c>
      <c r="K98" t="str">
        <f>IF(ISBLANK('Sample Namen'!C88),"",'Sample Namen'!C88)</f>
        <v/>
      </c>
      <c r="L98" t="str">
        <f>IF(ISBLANK('Sample Namen'!D88),"",'Sample Namen'!D88)</f>
        <v/>
      </c>
      <c r="M98" t="str">
        <f>IF(ISBLANK('Sample Namen'!E88),"",'Sample Namen'!E88)</f>
        <v/>
      </c>
      <c r="N98" t="str">
        <f>IF(ISBLANK('Sample Namen'!F88),"",'Sample Namen'!F88)</f>
        <v/>
      </c>
      <c r="O98" t="str">
        <f>IF(ISBLANK('Sample Namen'!B88),"","n")</f>
        <v/>
      </c>
    </row>
    <row r="99" spans="1:15" x14ac:dyDescent="0.25">
      <c r="A99" t="str">
        <f>IF(ISBLANK('Sample Namen'!B89),"",'MiSeq SampleSheet'!A98+1)</f>
        <v/>
      </c>
      <c r="B99" t="str">
        <f>IF(ISBLANK('Sample Namen'!B89),"",'Sample Namen'!B89)</f>
        <v/>
      </c>
      <c r="E99" t="str">
        <f>IF(ISBLANK('Sample Namen'!L89),"",'Sample Namen'!L89)</f>
        <v/>
      </c>
      <c r="F99" t="str">
        <f>IF(ISBLANK('Sample Namen'!M89),"",'Sample Namen'!M89)</f>
        <v/>
      </c>
      <c r="G99" t="str">
        <f>IF(ISBLANK('Sample Namen'!O89),"",'Sample Namen'!O89)</f>
        <v/>
      </c>
      <c r="H99" t="str">
        <f>IF(ISBLANK('Sample Namen'!P89),"",'Sample Namen'!P89)</f>
        <v/>
      </c>
      <c r="I99" t="str">
        <f>IF(ISBLANK('Sample Namen'!B89),"","Resistance")</f>
        <v/>
      </c>
      <c r="K99" t="str">
        <f>IF(ISBLANK('Sample Namen'!C89),"",'Sample Namen'!C89)</f>
        <v/>
      </c>
      <c r="L99" t="str">
        <f>IF(ISBLANK('Sample Namen'!D89),"",'Sample Namen'!D89)</f>
        <v/>
      </c>
      <c r="M99" t="str">
        <f>IF(ISBLANK('Sample Namen'!E89),"",'Sample Namen'!E89)</f>
        <v/>
      </c>
      <c r="N99" t="str">
        <f>IF(ISBLANK('Sample Namen'!F89),"",'Sample Namen'!F89)</f>
        <v/>
      </c>
      <c r="O99" t="str">
        <f>IF(ISBLANK('Sample Namen'!B89),"","n")</f>
        <v/>
      </c>
    </row>
    <row r="100" spans="1:15" x14ac:dyDescent="0.25">
      <c r="A100" t="str">
        <f>IF(ISBLANK('Sample Namen'!B90),"",'MiSeq SampleSheet'!A99+1)</f>
        <v/>
      </c>
      <c r="B100" t="str">
        <f>IF(ISBLANK('Sample Namen'!B90),"",'Sample Namen'!B90)</f>
        <v/>
      </c>
      <c r="E100" t="str">
        <f>IF(ISBLANK('Sample Namen'!L90),"",'Sample Namen'!L90)</f>
        <v/>
      </c>
      <c r="F100" t="str">
        <f>IF(ISBLANK('Sample Namen'!M90),"",'Sample Namen'!M90)</f>
        <v/>
      </c>
      <c r="G100" t="str">
        <f>IF(ISBLANK('Sample Namen'!O90),"",'Sample Namen'!O90)</f>
        <v/>
      </c>
      <c r="H100" t="str">
        <f>IF(ISBLANK('Sample Namen'!P90),"",'Sample Namen'!P90)</f>
        <v/>
      </c>
      <c r="I100" t="str">
        <f>IF(ISBLANK('Sample Namen'!B90),"","Resistance")</f>
        <v/>
      </c>
      <c r="K100" t="str">
        <f>IF(ISBLANK('Sample Namen'!C90),"",'Sample Namen'!C90)</f>
        <v/>
      </c>
      <c r="L100" t="str">
        <f>IF(ISBLANK('Sample Namen'!D90),"",'Sample Namen'!D90)</f>
        <v/>
      </c>
      <c r="M100" t="str">
        <f>IF(ISBLANK('Sample Namen'!E90),"",'Sample Namen'!E90)</f>
        <v/>
      </c>
      <c r="N100" t="str">
        <f>IF(ISBLANK('Sample Namen'!F90),"",'Sample Namen'!F90)</f>
        <v/>
      </c>
      <c r="O100" t="str">
        <f>IF(ISBLANK('Sample Namen'!B90),"","n")</f>
        <v/>
      </c>
    </row>
    <row r="101" spans="1:15" x14ac:dyDescent="0.25">
      <c r="A101" t="str">
        <f>IF(ISBLANK('Sample Namen'!B91),"",'MiSeq SampleSheet'!A100+1)</f>
        <v/>
      </c>
      <c r="B101" t="str">
        <f>IF(ISBLANK('Sample Namen'!B91),"",'Sample Namen'!B91)</f>
        <v/>
      </c>
      <c r="E101" t="str">
        <f>IF(ISBLANK('Sample Namen'!L91),"",'Sample Namen'!L91)</f>
        <v/>
      </c>
      <c r="F101" t="str">
        <f>IF(ISBLANK('Sample Namen'!M91),"",'Sample Namen'!M91)</f>
        <v/>
      </c>
      <c r="G101" t="str">
        <f>IF(ISBLANK('Sample Namen'!O91),"",'Sample Namen'!O91)</f>
        <v/>
      </c>
      <c r="H101" t="str">
        <f>IF(ISBLANK('Sample Namen'!P91),"",'Sample Namen'!P91)</f>
        <v/>
      </c>
      <c r="I101" t="str">
        <f>IF(ISBLANK('Sample Namen'!B91),"","Resistance")</f>
        <v/>
      </c>
      <c r="K101" t="str">
        <f>IF(ISBLANK('Sample Namen'!C91),"",'Sample Namen'!C91)</f>
        <v/>
      </c>
      <c r="L101" t="str">
        <f>IF(ISBLANK('Sample Namen'!D91),"",'Sample Namen'!D91)</f>
        <v/>
      </c>
      <c r="M101" t="str">
        <f>IF(ISBLANK('Sample Namen'!E91),"",'Sample Namen'!E91)</f>
        <v/>
      </c>
      <c r="N101" t="str">
        <f>IF(ISBLANK('Sample Namen'!F91),"",'Sample Namen'!F91)</f>
        <v/>
      </c>
      <c r="O101" t="str">
        <f>IF(ISBLANK('Sample Namen'!B91),"","n")</f>
        <v/>
      </c>
    </row>
    <row r="102" spans="1:15" x14ac:dyDescent="0.25">
      <c r="A102" t="str">
        <f>IF(ISBLANK('Sample Namen'!B92),"",'MiSeq SampleSheet'!A101+1)</f>
        <v/>
      </c>
      <c r="B102" t="str">
        <f>IF(ISBLANK('Sample Namen'!B92),"",'Sample Namen'!B92)</f>
        <v/>
      </c>
      <c r="E102" t="str">
        <f>IF(ISBLANK('Sample Namen'!L92),"",'Sample Namen'!L92)</f>
        <v/>
      </c>
      <c r="F102" t="str">
        <f>IF(ISBLANK('Sample Namen'!M92),"",'Sample Namen'!M92)</f>
        <v/>
      </c>
      <c r="G102" t="str">
        <f>IF(ISBLANK('Sample Namen'!O92),"",'Sample Namen'!O92)</f>
        <v/>
      </c>
      <c r="H102" t="str">
        <f>IF(ISBLANK('Sample Namen'!P92),"",'Sample Namen'!P92)</f>
        <v/>
      </c>
      <c r="I102" t="str">
        <f>IF(ISBLANK('Sample Namen'!B92),"","Resistance")</f>
        <v/>
      </c>
      <c r="K102" t="str">
        <f>IF(ISBLANK('Sample Namen'!C92),"",'Sample Namen'!C92)</f>
        <v/>
      </c>
      <c r="L102" t="str">
        <f>IF(ISBLANK('Sample Namen'!D92),"",'Sample Namen'!D92)</f>
        <v/>
      </c>
      <c r="M102" t="str">
        <f>IF(ISBLANK('Sample Namen'!E92),"",'Sample Namen'!E92)</f>
        <v/>
      </c>
      <c r="N102" t="str">
        <f>IF(ISBLANK('Sample Namen'!F92),"",'Sample Namen'!F92)</f>
        <v/>
      </c>
      <c r="O102" t="str">
        <f>IF(ISBLANK('Sample Namen'!B92),"","n")</f>
        <v/>
      </c>
    </row>
    <row r="103" spans="1:15" x14ac:dyDescent="0.25">
      <c r="A103" t="str">
        <f>IF(ISBLANK('Sample Namen'!B93),"",'MiSeq SampleSheet'!A102+1)</f>
        <v/>
      </c>
      <c r="B103" t="str">
        <f>IF(ISBLANK('Sample Namen'!B93),"",'Sample Namen'!B93)</f>
        <v/>
      </c>
      <c r="E103" t="str">
        <f>IF(ISBLANK('Sample Namen'!L93),"",'Sample Namen'!L93)</f>
        <v/>
      </c>
      <c r="F103" t="str">
        <f>IF(ISBLANK('Sample Namen'!M93),"",'Sample Namen'!M93)</f>
        <v/>
      </c>
      <c r="G103" t="str">
        <f>IF(ISBLANK('Sample Namen'!O93),"",'Sample Namen'!O93)</f>
        <v/>
      </c>
      <c r="H103" t="str">
        <f>IF(ISBLANK('Sample Namen'!P93),"",'Sample Namen'!P93)</f>
        <v/>
      </c>
      <c r="I103" t="str">
        <f>IF(ISBLANK('Sample Namen'!B93),"","Resistance")</f>
        <v/>
      </c>
      <c r="K103" t="str">
        <f>IF(ISBLANK('Sample Namen'!C93),"",'Sample Namen'!C93)</f>
        <v/>
      </c>
      <c r="L103" t="str">
        <f>IF(ISBLANK('Sample Namen'!D93),"",'Sample Namen'!D93)</f>
        <v/>
      </c>
      <c r="M103" t="str">
        <f>IF(ISBLANK('Sample Namen'!E93),"",'Sample Namen'!E93)</f>
        <v/>
      </c>
      <c r="N103" t="str">
        <f>IF(ISBLANK('Sample Namen'!F93),"",'Sample Namen'!F93)</f>
        <v/>
      </c>
      <c r="O103" t="str">
        <f>IF(ISBLANK('Sample Namen'!B93),"","n")</f>
        <v/>
      </c>
    </row>
    <row r="104" spans="1:15" x14ac:dyDescent="0.25">
      <c r="A104" t="str">
        <f>IF(ISBLANK('Sample Namen'!B94),"",'MiSeq SampleSheet'!A103+1)</f>
        <v/>
      </c>
      <c r="B104" t="str">
        <f>IF(ISBLANK('Sample Namen'!B94),"",'Sample Namen'!B94)</f>
        <v/>
      </c>
      <c r="E104" t="str">
        <f>IF(ISBLANK('Sample Namen'!L94),"",'Sample Namen'!L94)</f>
        <v/>
      </c>
      <c r="F104" t="str">
        <f>IF(ISBLANK('Sample Namen'!M94),"",'Sample Namen'!M94)</f>
        <v/>
      </c>
      <c r="G104" t="str">
        <f>IF(ISBLANK('Sample Namen'!O94),"",'Sample Namen'!O94)</f>
        <v/>
      </c>
      <c r="H104" t="str">
        <f>IF(ISBLANK('Sample Namen'!P94),"",'Sample Namen'!P94)</f>
        <v/>
      </c>
      <c r="I104" t="str">
        <f>IF(ISBLANK('Sample Namen'!B94),"","Resistance")</f>
        <v/>
      </c>
      <c r="K104" t="str">
        <f>IF(ISBLANK('Sample Namen'!C94),"",'Sample Namen'!C94)</f>
        <v/>
      </c>
      <c r="L104" t="str">
        <f>IF(ISBLANK('Sample Namen'!D94),"",'Sample Namen'!D94)</f>
        <v/>
      </c>
      <c r="M104" t="str">
        <f>IF(ISBLANK('Sample Namen'!E94),"",'Sample Namen'!E94)</f>
        <v/>
      </c>
      <c r="N104" t="str">
        <f>IF(ISBLANK('Sample Namen'!F94),"",'Sample Namen'!F94)</f>
        <v/>
      </c>
      <c r="O104" t="str">
        <f>IF(ISBLANK('Sample Namen'!B94),"","n")</f>
        <v/>
      </c>
    </row>
    <row r="105" spans="1:15" x14ac:dyDescent="0.25">
      <c r="A105" t="str">
        <f>IF(ISBLANK('Sample Namen'!B95),"",'MiSeq SampleSheet'!A104+1)</f>
        <v/>
      </c>
      <c r="B105" t="str">
        <f>IF(ISBLANK('Sample Namen'!B95),"",'Sample Namen'!B95)</f>
        <v/>
      </c>
      <c r="E105" t="str">
        <f>IF(ISBLANK('Sample Namen'!L95),"",'Sample Namen'!L95)</f>
        <v/>
      </c>
      <c r="F105" t="str">
        <f>IF(ISBLANK('Sample Namen'!M95),"",'Sample Namen'!M95)</f>
        <v/>
      </c>
      <c r="G105" t="str">
        <f>IF(ISBLANK('Sample Namen'!O95),"",'Sample Namen'!O95)</f>
        <v/>
      </c>
      <c r="H105" t="str">
        <f>IF(ISBLANK('Sample Namen'!P95),"",'Sample Namen'!P95)</f>
        <v/>
      </c>
      <c r="I105" t="str">
        <f>IF(ISBLANK('Sample Namen'!B95),"","Resistance")</f>
        <v/>
      </c>
      <c r="K105" t="str">
        <f>IF(ISBLANK('Sample Namen'!C95),"",'Sample Namen'!C95)</f>
        <v/>
      </c>
      <c r="L105" t="str">
        <f>IF(ISBLANK('Sample Namen'!D95),"",'Sample Namen'!D95)</f>
        <v/>
      </c>
      <c r="M105" t="str">
        <f>IF(ISBLANK('Sample Namen'!E95),"",'Sample Namen'!E95)</f>
        <v/>
      </c>
      <c r="N105" t="str">
        <f>IF(ISBLANK('Sample Namen'!F95),"",'Sample Namen'!F95)</f>
        <v/>
      </c>
      <c r="O105" t="str">
        <f>IF(ISBLANK('Sample Namen'!B95),"","n")</f>
        <v/>
      </c>
    </row>
    <row r="106" spans="1:15" x14ac:dyDescent="0.25">
      <c r="A106" t="str">
        <f>IF(ISBLANK('Sample Namen'!B96),"",'MiSeq SampleSheet'!A105+1)</f>
        <v/>
      </c>
      <c r="B106" t="str">
        <f>IF(ISBLANK('Sample Namen'!B96),"",'Sample Namen'!B96)</f>
        <v/>
      </c>
      <c r="E106" t="str">
        <f>IF(ISBLANK('Sample Namen'!L96),"",'Sample Namen'!L96)</f>
        <v/>
      </c>
      <c r="F106" t="str">
        <f>IF(ISBLANK('Sample Namen'!M96),"",'Sample Namen'!M96)</f>
        <v/>
      </c>
      <c r="G106" t="str">
        <f>IF(ISBLANK('Sample Namen'!O96),"",'Sample Namen'!O96)</f>
        <v/>
      </c>
      <c r="H106" t="str">
        <f>IF(ISBLANK('Sample Namen'!P96),"",'Sample Namen'!P96)</f>
        <v/>
      </c>
      <c r="I106" t="str">
        <f>IF(ISBLANK('Sample Namen'!B96),"","Resistance")</f>
        <v/>
      </c>
      <c r="K106" t="str">
        <f>IF(ISBLANK('Sample Namen'!C96),"",'Sample Namen'!C96)</f>
        <v/>
      </c>
      <c r="L106" t="str">
        <f>IF(ISBLANK('Sample Namen'!D96),"",'Sample Namen'!D96)</f>
        <v/>
      </c>
      <c r="M106" t="str">
        <f>IF(ISBLANK('Sample Namen'!E96),"",'Sample Namen'!E96)</f>
        <v/>
      </c>
      <c r="N106" t="str">
        <f>IF(ISBLANK('Sample Namen'!F96),"",'Sample Namen'!F96)</f>
        <v/>
      </c>
      <c r="O106" t="str">
        <f>IF(ISBLANK('Sample Namen'!B96),"","n")</f>
        <v/>
      </c>
    </row>
    <row r="107" spans="1:15" x14ac:dyDescent="0.25">
      <c r="A107" t="str">
        <f>IF(ISBLANK('Sample Namen'!B97),"",'MiSeq SampleSheet'!A106+1)</f>
        <v/>
      </c>
      <c r="B107" t="str">
        <f>IF(ISBLANK('Sample Namen'!B97),"",'Sample Namen'!B97)</f>
        <v/>
      </c>
      <c r="E107" t="str">
        <f>IF(ISBLANK('Sample Namen'!L97),"",'Sample Namen'!L97)</f>
        <v/>
      </c>
      <c r="F107" t="str">
        <f>IF(ISBLANK('Sample Namen'!M97),"",'Sample Namen'!M97)</f>
        <v/>
      </c>
      <c r="G107" t="str">
        <f>IF(ISBLANK('Sample Namen'!O97),"",'Sample Namen'!O97)</f>
        <v/>
      </c>
      <c r="H107" t="str">
        <f>IF(ISBLANK('Sample Namen'!P97),"",'Sample Namen'!P97)</f>
        <v/>
      </c>
      <c r="I107" t="str">
        <f>IF(ISBLANK('Sample Namen'!B97),"","Resistance")</f>
        <v/>
      </c>
      <c r="K107" t="str">
        <f>IF(ISBLANK('Sample Namen'!C97),"",'Sample Namen'!C97)</f>
        <v/>
      </c>
      <c r="L107" t="str">
        <f>IF(ISBLANK('Sample Namen'!D97),"",'Sample Namen'!D97)</f>
        <v/>
      </c>
      <c r="M107" t="str">
        <f>IF(ISBLANK('Sample Namen'!E97),"",'Sample Namen'!E97)</f>
        <v/>
      </c>
      <c r="N107" t="str">
        <f>IF(ISBLANK('Sample Namen'!F97),"",'Sample Namen'!F97)</f>
        <v/>
      </c>
      <c r="O107" t="str">
        <f>IF(ISBLANK('Sample Namen'!B97),"","n")</f>
        <v/>
      </c>
    </row>
    <row r="108" spans="1:15" x14ac:dyDescent="0.25">
      <c r="A108" t="str">
        <f>IF(ISBLANK('Sample Namen'!B98),"",'MiSeq SampleSheet'!A107+1)</f>
        <v/>
      </c>
      <c r="B108" t="str">
        <f>IF(ISBLANK('Sample Namen'!B98),"",'Sample Namen'!B98)</f>
        <v/>
      </c>
      <c r="E108" t="str">
        <f>IF(ISBLANK('Sample Namen'!L98),"",'Sample Namen'!L98)</f>
        <v/>
      </c>
      <c r="F108" t="str">
        <f>IF(ISBLANK('Sample Namen'!M98),"",'Sample Namen'!M98)</f>
        <v/>
      </c>
      <c r="G108" t="str">
        <f>IF(ISBLANK('Sample Namen'!O98),"",'Sample Namen'!O98)</f>
        <v/>
      </c>
      <c r="H108" t="str">
        <f>IF(ISBLANK('Sample Namen'!P98),"",'Sample Namen'!P98)</f>
        <v/>
      </c>
      <c r="I108" t="str">
        <f>IF(ISBLANK('Sample Namen'!B98),"","Resistance")</f>
        <v/>
      </c>
      <c r="K108" t="str">
        <f>IF(ISBLANK('Sample Namen'!C98),"",'Sample Namen'!C98)</f>
        <v/>
      </c>
      <c r="L108" t="str">
        <f>IF(ISBLANK('Sample Namen'!D98),"",'Sample Namen'!D98)</f>
        <v/>
      </c>
      <c r="M108" t="str">
        <f>IF(ISBLANK('Sample Namen'!E98),"",'Sample Namen'!E98)</f>
        <v/>
      </c>
      <c r="N108" t="str">
        <f>IF(ISBLANK('Sample Namen'!F98),"",'Sample Namen'!F98)</f>
        <v/>
      </c>
      <c r="O108" t="str">
        <f>IF(ISBLANK('Sample Namen'!B98),"","n")</f>
        <v/>
      </c>
    </row>
    <row r="109" spans="1:15" x14ac:dyDescent="0.25">
      <c r="A109" t="str">
        <f>IF(ISBLANK('Sample Namen'!B99),"",'MiSeq SampleSheet'!A108+1)</f>
        <v/>
      </c>
      <c r="B109" t="str">
        <f>IF(ISBLANK('Sample Namen'!B99),"",'Sample Namen'!B99)</f>
        <v/>
      </c>
      <c r="E109" t="str">
        <f>IF(ISBLANK('Sample Namen'!L99),"",'Sample Namen'!L99)</f>
        <v/>
      </c>
      <c r="F109" t="str">
        <f>IF(ISBLANK('Sample Namen'!M99),"",'Sample Namen'!M99)</f>
        <v/>
      </c>
      <c r="G109" t="str">
        <f>IF(ISBLANK('Sample Namen'!O99),"",'Sample Namen'!O99)</f>
        <v/>
      </c>
      <c r="H109" t="str">
        <f>IF(ISBLANK('Sample Namen'!P99),"",'Sample Namen'!P99)</f>
        <v/>
      </c>
      <c r="I109" t="str">
        <f>IF(ISBLANK('Sample Namen'!B99),"","Resistance")</f>
        <v/>
      </c>
      <c r="K109" t="str">
        <f>IF(ISBLANK('Sample Namen'!C99),"",'Sample Namen'!C99)</f>
        <v/>
      </c>
      <c r="L109" t="str">
        <f>IF(ISBLANK('Sample Namen'!D99),"",'Sample Namen'!D99)</f>
        <v/>
      </c>
      <c r="M109" t="str">
        <f>IF(ISBLANK('Sample Namen'!E99),"",'Sample Namen'!E99)</f>
        <v/>
      </c>
      <c r="N109" t="str">
        <f>IF(ISBLANK('Sample Namen'!F99),"",'Sample Namen'!F99)</f>
        <v/>
      </c>
      <c r="O109" t="str">
        <f>IF(ISBLANK('Sample Namen'!B99),"","n")</f>
        <v/>
      </c>
    </row>
    <row r="110" spans="1:15" x14ac:dyDescent="0.25">
      <c r="A110" t="str">
        <f>IF(ISBLANK('Sample Namen'!B100),"",'MiSeq SampleSheet'!A109+1)</f>
        <v/>
      </c>
      <c r="B110" t="str">
        <f>IF(ISBLANK('Sample Namen'!B100),"",'Sample Namen'!B100)</f>
        <v/>
      </c>
      <c r="E110" t="str">
        <f>IF(ISBLANK('Sample Namen'!L100),"",'Sample Namen'!L100)</f>
        <v/>
      </c>
      <c r="F110" t="str">
        <f>IF(ISBLANK('Sample Namen'!M100),"",'Sample Namen'!M100)</f>
        <v/>
      </c>
      <c r="G110" t="str">
        <f>IF(ISBLANK('Sample Namen'!O100),"",'Sample Namen'!O100)</f>
        <v/>
      </c>
      <c r="H110" t="str">
        <f>IF(ISBLANK('Sample Namen'!P100),"",'Sample Namen'!P100)</f>
        <v/>
      </c>
      <c r="I110" t="str">
        <f>IF(ISBLANK('Sample Namen'!B100),"","Resistance")</f>
        <v/>
      </c>
      <c r="K110" t="str">
        <f>IF(ISBLANK('Sample Namen'!C100),"",'Sample Namen'!C100)</f>
        <v/>
      </c>
      <c r="L110" t="str">
        <f>IF(ISBLANK('Sample Namen'!D100),"",'Sample Namen'!D100)</f>
        <v/>
      </c>
      <c r="M110" t="str">
        <f>IF(ISBLANK('Sample Namen'!E100),"",'Sample Namen'!E100)</f>
        <v/>
      </c>
      <c r="N110" t="str">
        <f>IF(ISBLANK('Sample Namen'!F100),"",'Sample Namen'!F100)</f>
        <v/>
      </c>
      <c r="O110" t="str">
        <f>IF(ISBLANK('Sample Namen'!B100),"","n")</f>
        <v/>
      </c>
    </row>
    <row r="111" spans="1:15" x14ac:dyDescent="0.25">
      <c r="A111" t="str">
        <f>IF(ISBLANK('Sample Namen'!B101),"",'MiSeq SampleSheet'!A110+1)</f>
        <v/>
      </c>
      <c r="B111" t="str">
        <f>IF(ISBLANK('Sample Namen'!B101),"",'Sample Namen'!B101)</f>
        <v/>
      </c>
      <c r="E111" t="str">
        <f>IF(ISBLANK('Sample Namen'!L101),"",'Sample Namen'!L101)</f>
        <v/>
      </c>
      <c r="F111" t="str">
        <f>IF(ISBLANK('Sample Namen'!M101),"",'Sample Namen'!M101)</f>
        <v/>
      </c>
      <c r="G111" t="str">
        <f>IF(ISBLANK('Sample Namen'!O101),"",'Sample Namen'!O101)</f>
        <v/>
      </c>
      <c r="H111" t="str">
        <f>IF(ISBLANK('Sample Namen'!P101),"",'Sample Namen'!P101)</f>
        <v/>
      </c>
      <c r="I111" t="str">
        <f>IF(ISBLANK('Sample Namen'!B101),"","Resistance")</f>
        <v/>
      </c>
      <c r="K111" t="str">
        <f>IF(ISBLANK('Sample Namen'!C101),"",'Sample Namen'!C101)</f>
        <v/>
      </c>
      <c r="L111" t="str">
        <f>IF(ISBLANK('Sample Namen'!D101),"",'Sample Namen'!D101)</f>
        <v/>
      </c>
      <c r="M111" t="str">
        <f>IF(ISBLANK('Sample Namen'!E101),"",'Sample Namen'!E101)</f>
        <v/>
      </c>
      <c r="N111" t="str">
        <f>IF(ISBLANK('Sample Namen'!F101),"",'Sample Namen'!F101)</f>
        <v/>
      </c>
      <c r="O111" t="str">
        <f>IF(ISBLANK('Sample Namen'!B101),"","n")</f>
        <v/>
      </c>
    </row>
    <row r="112" spans="1:15" x14ac:dyDescent="0.25">
      <c r="A112" t="str">
        <f>IF(ISBLANK('Sample Namen'!B102),"",'MiSeq SampleSheet'!A111+1)</f>
        <v/>
      </c>
      <c r="B112" t="str">
        <f>IF(ISBLANK('Sample Namen'!B102),"",'Sample Namen'!B102)</f>
        <v/>
      </c>
      <c r="E112" t="str">
        <f>IF(ISBLANK('Sample Namen'!L102),"",'Sample Namen'!L102)</f>
        <v/>
      </c>
      <c r="F112" t="str">
        <f>IF(ISBLANK('Sample Namen'!M102),"",'Sample Namen'!M102)</f>
        <v/>
      </c>
      <c r="G112" t="str">
        <f>IF(ISBLANK('Sample Namen'!O102),"",'Sample Namen'!O102)</f>
        <v/>
      </c>
      <c r="H112" t="str">
        <f>IF(ISBLANK('Sample Namen'!P102),"",'Sample Namen'!P102)</f>
        <v/>
      </c>
      <c r="I112" t="str">
        <f>IF(ISBLANK('Sample Namen'!B102),"","Resistance")</f>
        <v/>
      </c>
      <c r="K112" t="str">
        <f>IF(ISBLANK('Sample Namen'!C102),"",'Sample Namen'!C102)</f>
        <v/>
      </c>
      <c r="L112" t="str">
        <f>IF(ISBLANK('Sample Namen'!D102),"",'Sample Namen'!D102)</f>
        <v/>
      </c>
      <c r="M112" t="str">
        <f>IF(ISBLANK('Sample Namen'!E102),"",'Sample Namen'!E102)</f>
        <v/>
      </c>
      <c r="N112" t="str">
        <f>IF(ISBLANK('Sample Namen'!F102),"",'Sample Namen'!F102)</f>
        <v/>
      </c>
      <c r="O112" t="str">
        <f>IF(ISBLANK('Sample Namen'!B102),"","n")</f>
        <v/>
      </c>
    </row>
    <row r="113" spans="1:15" x14ac:dyDescent="0.25">
      <c r="A113" t="str">
        <f>IF(ISBLANK('Sample Namen'!B103),"",'MiSeq SampleSheet'!A112+1)</f>
        <v/>
      </c>
      <c r="B113" t="str">
        <f>IF(ISBLANK('Sample Namen'!B103),"",'Sample Namen'!B103)</f>
        <v/>
      </c>
      <c r="E113" t="str">
        <f>IF(ISBLANK('Sample Namen'!L103),"",'Sample Namen'!L103)</f>
        <v/>
      </c>
      <c r="F113" t="str">
        <f>IF(ISBLANK('Sample Namen'!M103),"",'Sample Namen'!M103)</f>
        <v/>
      </c>
      <c r="G113" t="str">
        <f>IF(ISBLANK('Sample Namen'!O103),"",'Sample Namen'!O103)</f>
        <v/>
      </c>
      <c r="H113" t="str">
        <f>IF(ISBLANK('Sample Namen'!P103),"",'Sample Namen'!P103)</f>
        <v/>
      </c>
      <c r="I113" t="str">
        <f>IF(ISBLANK('Sample Namen'!B103),"","Resistance")</f>
        <v/>
      </c>
      <c r="K113" t="str">
        <f>IF(ISBLANK('Sample Namen'!C103),"",'Sample Namen'!C103)</f>
        <v/>
      </c>
      <c r="L113" t="str">
        <f>IF(ISBLANK('Sample Namen'!D103),"",'Sample Namen'!D103)</f>
        <v/>
      </c>
      <c r="M113" t="str">
        <f>IF(ISBLANK('Sample Namen'!E103),"",'Sample Namen'!E103)</f>
        <v/>
      </c>
      <c r="N113" t="str">
        <f>IF(ISBLANK('Sample Namen'!F103),"",'Sample Namen'!F103)</f>
        <v/>
      </c>
      <c r="O113" t="str">
        <f>IF(ISBLANK('Sample Namen'!B103),"","n")</f>
        <v/>
      </c>
    </row>
    <row r="114" spans="1:15" x14ac:dyDescent="0.25">
      <c r="A114" t="str">
        <f>IF(ISBLANK('Sample Namen'!B104),"",'MiSeq SampleSheet'!A113+1)</f>
        <v/>
      </c>
      <c r="B114" t="str">
        <f>IF(ISBLANK('Sample Namen'!B104),"",'Sample Namen'!B104)</f>
        <v/>
      </c>
      <c r="E114" t="str">
        <f>IF(ISBLANK('Sample Namen'!L104),"",'Sample Namen'!L104)</f>
        <v/>
      </c>
      <c r="F114" t="str">
        <f>IF(ISBLANK('Sample Namen'!M104),"",'Sample Namen'!M104)</f>
        <v/>
      </c>
      <c r="G114" t="str">
        <f>IF(ISBLANK('Sample Namen'!O104),"",'Sample Namen'!O104)</f>
        <v/>
      </c>
      <c r="H114" t="str">
        <f>IF(ISBLANK('Sample Namen'!P104),"",'Sample Namen'!P104)</f>
        <v/>
      </c>
      <c r="I114" t="str">
        <f>IF(ISBLANK('Sample Namen'!B104),"","Resistance")</f>
        <v/>
      </c>
      <c r="K114" t="str">
        <f>IF(ISBLANK('Sample Namen'!C104),"",'Sample Namen'!C104)</f>
        <v/>
      </c>
      <c r="L114" t="str">
        <f>IF(ISBLANK('Sample Namen'!D104),"",'Sample Namen'!D104)</f>
        <v/>
      </c>
      <c r="M114" t="str">
        <f>IF(ISBLANK('Sample Namen'!E104),"",'Sample Namen'!E104)</f>
        <v/>
      </c>
      <c r="N114" t="str">
        <f>IF(ISBLANK('Sample Namen'!F104),"",'Sample Namen'!F104)</f>
        <v/>
      </c>
      <c r="O114" t="str">
        <f>IF(ISBLANK('Sample Namen'!B104),"","n")</f>
        <v/>
      </c>
    </row>
    <row r="115" spans="1:15" x14ac:dyDescent="0.25">
      <c r="A115" t="str">
        <f>IF(ISBLANK('Sample Namen'!B105),"",'MiSeq SampleSheet'!A114+1)</f>
        <v/>
      </c>
      <c r="B115" t="str">
        <f>IF(ISBLANK('Sample Namen'!B105),"",'Sample Namen'!B105)</f>
        <v/>
      </c>
      <c r="E115" t="str">
        <f>IF(ISBLANK('Sample Namen'!L105),"",'Sample Namen'!L105)</f>
        <v/>
      </c>
      <c r="F115" t="str">
        <f>IF(ISBLANK('Sample Namen'!M105),"",'Sample Namen'!M105)</f>
        <v/>
      </c>
      <c r="G115" t="str">
        <f>IF(ISBLANK('Sample Namen'!O105),"",'Sample Namen'!O105)</f>
        <v/>
      </c>
      <c r="H115" t="str">
        <f>IF(ISBLANK('Sample Namen'!P105),"",'Sample Namen'!P105)</f>
        <v/>
      </c>
      <c r="I115" t="str">
        <f>IF(ISBLANK('Sample Namen'!B105),"","Resistance")</f>
        <v/>
      </c>
      <c r="K115" t="str">
        <f>IF(ISBLANK('Sample Namen'!C105),"",'Sample Namen'!C105)</f>
        <v/>
      </c>
      <c r="L115" t="str">
        <f>IF(ISBLANK('Sample Namen'!D105),"",'Sample Namen'!D105)</f>
        <v/>
      </c>
      <c r="M115" t="str">
        <f>IF(ISBLANK('Sample Namen'!E105),"",'Sample Namen'!E105)</f>
        <v/>
      </c>
      <c r="N115" t="str">
        <f>IF(ISBLANK('Sample Namen'!F105),"",'Sample Namen'!F105)</f>
        <v/>
      </c>
      <c r="O115" t="str">
        <f>IF(ISBLANK('Sample Namen'!B105),"","n")</f>
        <v/>
      </c>
    </row>
    <row r="116" spans="1:15" x14ac:dyDescent="0.25">
      <c r="A116" t="str">
        <f>IF(ISBLANK('Sample Namen'!B106),"",'MiSeq SampleSheet'!A115+1)</f>
        <v/>
      </c>
      <c r="B116" t="str">
        <f>IF(ISBLANK('Sample Namen'!B106),"",'Sample Namen'!B106)</f>
        <v/>
      </c>
      <c r="E116" t="str">
        <f>IF(ISBLANK('Sample Namen'!L106),"",'Sample Namen'!L106)</f>
        <v/>
      </c>
      <c r="F116" t="str">
        <f>IF(ISBLANK('Sample Namen'!M106),"",'Sample Namen'!M106)</f>
        <v/>
      </c>
      <c r="G116" t="str">
        <f>IF(ISBLANK('Sample Namen'!O106),"",'Sample Namen'!O106)</f>
        <v/>
      </c>
      <c r="H116" t="str">
        <f>IF(ISBLANK('Sample Namen'!P106),"",'Sample Namen'!P106)</f>
        <v/>
      </c>
      <c r="I116" t="str">
        <f>IF(ISBLANK('Sample Namen'!B106),"","Resistance")</f>
        <v/>
      </c>
      <c r="K116" t="str">
        <f>IF(ISBLANK('Sample Namen'!C106),"",'Sample Namen'!C106)</f>
        <v/>
      </c>
      <c r="L116" t="str">
        <f>IF(ISBLANK('Sample Namen'!D106),"",'Sample Namen'!D106)</f>
        <v/>
      </c>
      <c r="M116" t="str">
        <f>IF(ISBLANK('Sample Namen'!E106),"",'Sample Namen'!E106)</f>
        <v/>
      </c>
      <c r="N116" t="str">
        <f>IF(ISBLANK('Sample Namen'!F106),"",'Sample Namen'!F106)</f>
        <v/>
      </c>
      <c r="O116" t="str">
        <f>IF(ISBLANK('Sample Namen'!B106),"","n")</f>
        <v/>
      </c>
    </row>
    <row r="117" spans="1:15" x14ac:dyDescent="0.25">
      <c r="A117" t="str">
        <f>IF(ISBLANK('Sample Namen'!B107),"",'MiSeq SampleSheet'!A116+1)</f>
        <v/>
      </c>
      <c r="B117" t="str">
        <f>IF(ISBLANK('Sample Namen'!B107),"",'Sample Namen'!B107)</f>
        <v/>
      </c>
      <c r="E117" t="str">
        <f>IF(ISBLANK('Sample Namen'!L107),"",'Sample Namen'!L107)</f>
        <v/>
      </c>
      <c r="F117" t="str">
        <f>IF(ISBLANK('Sample Namen'!M107),"",'Sample Namen'!M107)</f>
        <v/>
      </c>
      <c r="G117" t="str">
        <f>IF(ISBLANK('Sample Namen'!O107),"",'Sample Namen'!O107)</f>
        <v/>
      </c>
      <c r="H117" t="str">
        <f>IF(ISBLANK('Sample Namen'!P107),"",'Sample Namen'!P107)</f>
        <v/>
      </c>
      <c r="I117" t="str">
        <f>IF(ISBLANK('Sample Namen'!B107),"","Resistance")</f>
        <v/>
      </c>
      <c r="K117" t="str">
        <f>IF(ISBLANK('Sample Namen'!C107),"",'Sample Namen'!C107)</f>
        <v/>
      </c>
      <c r="L117" t="str">
        <f>IF(ISBLANK('Sample Namen'!D107),"",'Sample Namen'!D107)</f>
        <v/>
      </c>
      <c r="M117" t="str">
        <f>IF(ISBLANK('Sample Namen'!E107),"",'Sample Namen'!E107)</f>
        <v/>
      </c>
      <c r="N117" t="str">
        <f>IF(ISBLANK('Sample Namen'!F107),"",'Sample Namen'!F107)</f>
        <v/>
      </c>
      <c r="O117" t="str">
        <f>IF(ISBLANK('Sample Namen'!B107),"","n")</f>
        <v/>
      </c>
    </row>
    <row r="118" spans="1:15" x14ac:dyDescent="0.25">
      <c r="A118" t="str">
        <f>IF(ISBLANK('Sample Namen'!B108),"",'MiSeq SampleSheet'!A117+1)</f>
        <v/>
      </c>
      <c r="B118" t="str">
        <f>IF(ISBLANK('Sample Namen'!B108),"",'Sample Namen'!B108)</f>
        <v/>
      </c>
      <c r="E118" t="str">
        <f>IF(ISBLANK('Sample Namen'!L108),"",'Sample Namen'!L108)</f>
        <v/>
      </c>
      <c r="F118" t="str">
        <f>IF(ISBLANK('Sample Namen'!M108),"",'Sample Namen'!M108)</f>
        <v/>
      </c>
      <c r="G118" t="str">
        <f>IF(ISBLANK('Sample Namen'!O108),"",'Sample Namen'!O108)</f>
        <v/>
      </c>
      <c r="H118" t="str">
        <f>IF(ISBLANK('Sample Namen'!P108),"",'Sample Namen'!P108)</f>
        <v/>
      </c>
      <c r="I118" t="str">
        <f>IF(ISBLANK('Sample Namen'!B108),"","Resistance")</f>
        <v/>
      </c>
      <c r="K118" t="str">
        <f>IF(ISBLANK('Sample Namen'!C108),"",'Sample Namen'!C108)</f>
        <v/>
      </c>
      <c r="L118" t="str">
        <f>IF(ISBLANK('Sample Namen'!D108),"",'Sample Namen'!D108)</f>
        <v/>
      </c>
      <c r="M118" t="str">
        <f>IF(ISBLANK('Sample Namen'!E108),"",'Sample Namen'!E108)</f>
        <v/>
      </c>
      <c r="N118" t="str">
        <f>IF(ISBLANK('Sample Namen'!F108),"",'Sample Namen'!F108)</f>
        <v/>
      </c>
      <c r="O118" t="str">
        <f>IF(ISBLANK('Sample Namen'!B108),"","n")</f>
        <v/>
      </c>
    </row>
    <row r="119" spans="1:15" x14ac:dyDescent="0.25">
      <c r="A119" t="str">
        <f>IF(ISBLANK('Sample Namen'!B109),"",'MiSeq SampleSheet'!A118+1)</f>
        <v/>
      </c>
      <c r="B119" t="str">
        <f>IF(ISBLANK('Sample Namen'!B109),"",'Sample Namen'!B109)</f>
        <v/>
      </c>
      <c r="E119" t="str">
        <f>IF(ISBLANK('Sample Namen'!L109),"",'Sample Namen'!L109)</f>
        <v/>
      </c>
      <c r="F119" t="str">
        <f>IF(ISBLANK('Sample Namen'!M109),"",'Sample Namen'!M109)</f>
        <v/>
      </c>
      <c r="G119" t="str">
        <f>IF(ISBLANK('Sample Namen'!O109),"",'Sample Namen'!O109)</f>
        <v/>
      </c>
      <c r="H119" t="str">
        <f>IF(ISBLANK('Sample Namen'!P109),"",'Sample Namen'!P109)</f>
        <v/>
      </c>
      <c r="I119" t="str">
        <f>IF(ISBLANK('Sample Namen'!B109),"","Resistance")</f>
        <v/>
      </c>
      <c r="K119" t="str">
        <f>IF(ISBLANK('Sample Namen'!C109),"",'Sample Namen'!C109)</f>
        <v/>
      </c>
      <c r="L119" t="str">
        <f>IF(ISBLANK('Sample Namen'!D109),"",'Sample Namen'!D109)</f>
        <v/>
      </c>
      <c r="M119" t="str">
        <f>IF(ISBLANK('Sample Namen'!E109),"",'Sample Namen'!E109)</f>
        <v/>
      </c>
      <c r="N119" t="str">
        <f>IF(ISBLANK('Sample Namen'!F109),"",'Sample Namen'!F109)</f>
        <v/>
      </c>
      <c r="O119" t="str">
        <f>IF(ISBLANK('Sample Namen'!B109),"","n")</f>
        <v/>
      </c>
    </row>
    <row r="120" spans="1:15" x14ac:dyDescent="0.25">
      <c r="A120" t="str">
        <f>IF(ISBLANK('Sample Namen'!B110),"",'MiSeq SampleSheet'!A119+1)</f>
        <v/>
      </c>
      <c r="B120" t="str">
        <f>IF(ISBLANK('Sample Namen'!B110),"",'Sample Namen'!B110)</f>
        <v/>
      </c>
      <c r="E120" t="str">
        <f>IF(ISBLANK('Sample Namen'!L110),"",'Sample Namen'!L110)</f>
        <v/>
      </c>
      <c r="F120" t="str">
        <f>IF(ISBLANK('Sample Namen'!M110),"",'Sample Namen'!M110)</f>
        <v/>
      </c>
      <c r="G120" t="str">
        <f>IF(ISBLANK('Sample Namen'!O110),"",'Sample Namen'!O110)</f>
        <v/>
      </c>
      <c r="H120" t="str">
        <f>IF(ISBLANK('Sample Namen'!P110),"",'Sample Namen'!P110)</f>
        <v/>
      </c>
      <c r="I120" t="str">
        <f>IF(ISBLANK('Sample Namen'!B110),"","Resistance")</f>
        <v/>
      </c>
      <c r="K120" t="str">
        <f>IF(ISBLANK('Sample Namen'!C110),"",'Sample Namen'!C110)</f>
        <v/>
      </c>
      <c r="L120" t="str">
        <f>IF(ISBLANK('Sample Namen'!D110),"",'Sample Namen'!D110)</f>
        <v/>
      </c>
      <c r="M120" t="str">
        <f>IF(ISBLANK('Sample Namen'!E110),"",'Sample Namen'!E110)</f>
        <v/>
      </c>
      <c r="N120" t="str">
        <f>IF(ISBLANK('Sample Namen'!F110),"",'Sample Namen'!F110)</f>
        <v/>
      </c>
      <c r="O120" t="str">
        <f>IF(ISBLANK('Sample Namen'!B110),"","n")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 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custom" allowBlank="1" showInputMessage="1" showErrorMessage="1" sqref="I25:I120">
      <formula1>EXACT(I25:I120,"Resistance")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EXACT(O25:O120,"n")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Operator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2017-10-02T07:41:32Z</dcterms:modified>
</cp:coreProperties>
</file>