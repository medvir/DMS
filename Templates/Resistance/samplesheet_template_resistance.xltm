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infos'!$B$2:$B$8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infos'!$D$2:$D$5</definedName>
    <definedName name="Sample_Project">'Virus and Target infos'!$F$2:$F$3</definedName>
    <definedName name="Target">'Virus and Target infos'!$C$2:$C$12</definedName>
    <definedName name="Virus">'Virus and Target infos'!$A$2:$A$5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6" i="2" l="1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6" i="2"/>
  <c r="I27" i="2"/>
  <c r="I25" i="2"/>
  <c r="H15" i="1"/>
  <c r="H16" i="1"/>
  <c r="H17" i="1"/>
  <c r="J17" i="1"/>
  <c r="P17" i="1"/>
  <c r="Q17" i="1"/>
  <c r="H18" i="1"/>
  <c r="J18" i="1"/>
  <c r="P18" i="1"/>
  <c r="Q18" i="1"/>
  <c r="H19" i="1"/>
  <c r="J19" i="1"/>
  <c r="P19" i="1"/>
  <c r="Q19" i="1"/>
  <c r="H20" i="1"/>
  <c r="J20" i="1"/>
  <c r="P20" i="1"/>
  <c r="Q20" i="1"/>
  <c r="H21" i="1"/>
  <c r="J21" i="1"/>
  <c r="P21" i="1"/>
  <c r="Q21" i="1"/>
  <c r="H22" i="1"/>
  <c r="J22" i="1"/>
  <c r="P22" i="1"/>
  <c r="Q22" i="1"/>
  <c r="H23" i="1"/>
  <c r="J23" i="1"/>
  <c r="P23" i="1"/>
  <c r="Q23" i="1"/>
  <c r="H24" i="1"/>
  <c r="J24" i="1"/>
  <c r="P24" i="1"/>
  <c r="Q24" i="1"/>
  <c r="H25" i="1"/>
  <c r="J25" i="1"/>
  <c r="P25" i="1"/>
  <c r="Q25" i="1"/>
  <c r="H26" i="1"/>
  <c r="J26" i="1"/>
  <c r="P26" i="1"/>
  <c r="Q26" i="1"/>
  <c r="H27" i="1"/>
  <c r="J27" i="1"/>
  <c r="P27" i="1"/>
  <c r="Q27" i="1"/>
  <c r="H28" i="1"/>
  <c r="J28" i="1"/>
  <c r="P28" i="1"/>
  <c r="Q28" i="1"/>
  <c r="H29" i="1"/>
  <c r="J29" i="1"/>
  <c r="P29" i="1"/>
  <c r="Q29" i="1"/>
  <c r="H30" i="1"/>
  <c r="J30" i="1"/>
  <c r="P30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H109" i="1"/>
  <c r="H110" i="1"/>
  <c r="J110" i="1"/>
  <c r="P110" i="1"/>
  <c r="Q110" i="1"/>
  <c r="J15" i="1"/>
  <c r="P15" i="1"/>
  <c r="Q15" i="1"/>
  <c r="I17" i="1"/>
  <c r="M17" i="1"/>
  <c r="N17" i="1"/>
  <c r="I18" i="1"/>
  <c r="M18" i="1"/>
  <c r="N18" i="1"/>
  <c r="I19" i="1"/>
  <c r="M19" i="1"/>
  <c r="N19" i="1"/>
  <c r="I20" i="1"/>
  <c r="M20" i="1"/>
  <c r="N20" i="1"/>
  <c r="I21" i="1"/>
  <c r="M21" i="1"/>
  <c r="N21" i="1"/>
  <c r="I22" i="1"/>
  <c r="M22" i="1"/>
  <c r="N22" i="1"/>
  <c r="I23" i="1"/>
  <c r="M23" i="1"/>
  <c r="N23" i="1"/>
  <c r="I24" i="1"/>
  <c r="M24" i="1"/>
  <c r="N24" i="1"/>
  <c r="I25" i="1"/>
  <c r="M25" i="1"/>
  <c r="N25" i="1"/>
  <c r="I26" i="1"/>
  <c r="M26" i="1"/>
  <c r="N26" i="1"/>
  <c r="I27" i="1"/>
  <c r="M27" i="1"/>
  <c r="N27" i="1"/>
  <c r="I28" i="1"/>
  <c r="M28" i="1"/>
  <c r="N28" i="1"/>
  <c r="I29" i="1"/>
  <c r="M29" i="1"/>
  <c r="N29" i="1"/>
  <c r="I30" i="1"/>
  <c r="M30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I110" i="1"/>
  <c r="M110" i="1"/>
  <c r="N110" i="1"/>
  <c r="I15" i="1"/>
  <c r="M15" i="1"/>
  <c r="N15" i="1"/>
  <c r="K19" i="1"/>
  <c r="K20" i="1"/>
  <c r="K21" i="1"/>
  <c r="K22" i="1"/>
  <c r="K23" i="1"/>
  <c r="K24" i="1"/>
  <c r="K25" i="1"/>
  <c r="K26" i="1"/>
  <c r="K27" i="1"/>
  <c r="K28" i="1"/>
  <c r="K29" i="1"/>
  <c r="K30" i="1"/>
  <c r="I31" i="1"/>
  <c r="K31" i="1"/>
  <c r="I32" i="1"/>
  <c r="K32" i="1"/>
  <c r="I33" i="1"/>
  <c r="K33" i="1"/>
  <c r="I34" i="1"/>
  <c r="K34" i="1"/>
  <c r="I35" i="1"/>
  <c r="K35" i="1"/>
  <c r="I36" i="1"/>
  <c r="K36" i="1"/>
  <c r="I37" i="1"/>
  <c r="K37" i="1"/>
  <c r="I38" i="1"/>
  <c r="K38" i="1"/>
  <c r="I39" i="1"/>
  <c r="K39" i="1"/>
  <c r="I40" i="1"/>
  <c r="K40" i="1"/>
  <c r="I41" i="1"/>
  <c r="K41" i="1"/>
  <c r="H42" i="1"/>
  <c r="I42" i="1"/>
  <c r="K42" i="1"/>
  <c r="I43" i="1"/>
  <c r="K43" i="1"/>
  <c r="I44" i="1"/>
  <c r="K44" i="1"/>
  <c r="I45" i="1"/>
  <c r="K45" i="1"/>
  <c r="I46" i="1"/>
  <c r="K46" i="1"/>
  <c r="I47" i="1"/>
  <c r="K47" i="1"/>
  <c r="I48" i="1"/>
  <c r="K48" i="1"/>
  <c r="I49" i="1"/>
  <c r="K49" i="1"/>
  <c r="I50" i="1"/>
  <c r="K50" i="1"/>
  <c r="I51" i="1"/>
  <c r="K51" i="1"/>
  <c r="I52" i="1"/>
  <c r="K52" i="1"/>
  <c r="I53" i="1"/>
  <c r="K53" i="1"/>
  <c r="I54" i="1"/>
  <c r="K54" i="1"/>
  <c r="I55" i="1"/>
  <c r="K55" i="1"/>
  <c r="I56" i="1"/>
  <c r="K56" i="1"/>
  <c r="I57" i="1"/>
  <c r="K57" i="1"/>
  <c r="I58" i="1"/>
  <c r="K58" i="1"/>
  <c r="I59" i="1"/>
  <c r="K59" i="1"/>
  <c r="I60" i="1"/>
  <c r="K60" i="1"/>
  <c r="I61" i="1"/>
  <c r="K61" i="1"/>
  <c r="I62" i="1"/>
  <c r="K62" i="1"/>
  <c r="I63" i="1"/>
  <c r="K63" i="1"/>
  <c r="I64" i="1"/>
  <c r="K64" i="1"/>
  <c r="I65" i="1"/>
  <c r="K65" i="1"/>
  <c r="I66" i="1"/>
  <c r="K66" i="1"/>
  <c r="I67" i="1"/>
  <c r="K67" i="1"/>
  <c r="I68" i="1"/>
  <c r="K68" i="1"/>
  <c r="I69" i="1"/>
  <c r="K69" i="1"/>
  <c r="I70" i="1"/>
  <c r="K70" i="1"/>
  <c r="I71" i="1"/>
  <c r="K71" i="1"/>
  <c r="I72" i="1"/>
  <c r="K72" i="1"/>
  <c r="I73" i="1"/>
  <c r="K73" i="1"/>
  <c r="I74" i="1"/>
  <c r="K74" i="1"/>
  <c r="I75" i="1"/>
  <c r="K75" i="1"/>
  <c r="I76" i="1"/>
  <c r="K76" i="1"/>
  <c r="I77" i="1"/>
  <c r="K77" i="1"/>
  <c r="I78" i="1"/>
  <c r="K78" i="1"/>
  <c r="I79" i="1"/>
  <c r="K79" i="1"/>
  <c r="I80" i="1"/>
  <c r="K80" i="1"/>
  <c r="I81" i="1"/>
  <c r="K81" i="1"/>
  <c r="I82" i="1"/>
  <c r="K82" i="1"/>
  <c r="I83" i="1"/>
  <c r="K83" i="1"/>
  <c r="I84" i="1"/>
  <c r="K84" i="1"/>
  <c r="I85" i="1"/>
  <c r="K85" i="1"/>
  <c r="I86" i="1"/>
  <c r="K86" i="1"/>
  <c r="I87" i="1"/>
  <c r="K87" i="1"/>
  <c r="I88" i="1"/>
  <c r="K88" i="1"/>
  <c r="I89" i="1"/>
  <c r="K89" i="1"/>
  <c r="I90" i="1"/>
  <c r="K90" i="1"/>
  <c r="I91" i="1"/>
  <c r="K91" i="1"/>
  <c r="I92" i="1"/>
  <c r="K92" i="1"/>
  <c r="I93" i="1"/>
  <c r="K93" i="1"/>
  <c r="I94" i="1"/>
  <c r="K94" i="1"/>
  <c r="I95" i="1"/>
  <c r="K95" i="1"/>
  <c r="I96" i="1"/>
  <c r="K96" i="1"/>
  <c r="I97" i="1"/>
  <c r="K97" i="1"/>
  <c r="I98" i="1"/>
  <c r="K98" i="1"/>
  <c r="I99" i="1"/>
  <c r="K99" i="1"/>
  <c r="I100" i="1"/>
  <c r="K100" i="1"/>
  <c r="I101" i="1"/>
  <c r="K101" i="1"/>
  <c r="I102" i="1"/>
  <c r="K102" i="1"/>
  <c r="I103" i="1"/>
  <c r="K103" i="1"/>
  <c r="I104" i="1"/>
  <c r="K104" i="1"/>
  <c r="I105" i="1"/>
  <c r="K105" i="1"/>
  <c r="I106" i="1"/>
  <c r="K106" i="1"/>
  <c r="I107" i="1"/>
  <c r="K107" i="1"/>
  <c r="I108" i="1"/>
  <c r="K108" i="1"/>
  <c r="I109" i="1"/>
  <c r="K109" i="1"/>
  <c r="K110" i="1"/>
  <c r="K18" i="1"/>
  <c r="B11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I11" i="1"/>
  <c r="J11" i="1"/>
  <c r="K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H11" i="1"/>
  <c r="N11" i="1"/>
  <c r="Q11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Q16" i="1"/>
  <c r="H26" i="2"/>
  <c r="G26" i="2"/>
  <c r="I16" i="1"/>
  <c r="M16" i="1"/>
  <c r="N16" i="1"/>
  <c r="F26" i="2"/>
  <c r="E26" i="2"/>
  <c r="O26" i="2"/>
  <c r="K16" i="1"/>
  <c r="K17" i="1"/>
</calcChain>
</file>

<file path=xl/sharedStrings.xml><?xml version="1.0" encoding="utf-8"?>
<sst xmlns="http://schemas.openxmlformats.org/spreadsheetml/2006/main" count="157" uniqueCount="143">
  <si>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</si>
  <si>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</si>
  <si>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</si>
  <si>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</si>
  <si>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</si>
  <si>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</si>
  <si>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</si>
  <si>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</si>
  <si>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</si>
  <si>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</si>
  <si>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</si>
  <si>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</si>
  <si>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</si>
  <si>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</si>
  <si>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</si>
  <si>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</si>
  <si>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</si>
  <si>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</si>
  <si>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</si>
  <si>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</si>
  <si>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</si>
  <si>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</si>
  <si>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</si>
  <si>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</si>
  <si>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</si>
  <si>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</si>
  <si>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</si>
  <si>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</si>
  <si>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</si>
  <si>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</si>
  <si>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</si>
  <si>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</si>
  <si>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</si>
  <si>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</si>
  <si>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</si>
  <si>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</si>
  <si>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</si>
  <si>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</si>
  <si>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</si>
  <si>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</si>
  <si>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</si>
  <si>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</si>
  <si>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</si>
  <si>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</si>
  <si>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</si>
  <si>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</si>
  <si>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</si>
  <si>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</si>
  <si>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</si>
  <si>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</si>
  <si>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</si>
  <si>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</si>
  <si>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</si>
  <si>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</si>
  <si>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</si>
  <si>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</si>
  <si>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</si>
  <si>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</si>
  <si>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</si>
  <si>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</si>
  <si>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</si>
  <si>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</si>
  <si>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</si>
  <si>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</si>
  <si>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</si>
  <si>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</si>
  <si>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</si>
  <si>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</si>
  <si>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</si>
  <si>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</si>
  <si>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</si>
  <si>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</si>
  <si>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</si>
  <si>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</si>
  <si>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</si>
  <si>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</si>
  <si>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</si>
  <si>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</si>
  <si>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</si>
  <si>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</si>
  <si>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</si>
  <si>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</si>
  <si>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</si>
  <si>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</si>
  <si>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</si>
  <si>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</si>
  <si>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</si>
  <si>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</si>
  <si>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</si>
  <si>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</si>
  <si>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</si>
  <si>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</si>
  <si>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</si>
  <si>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</si>
  <si>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</si>
  <si>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</si>
  <si>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</si>
  <si>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</si>
  <si>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</si>
  <si>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</si>
  <si>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</si>
  <si>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</si>
  <si>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</si>
  <si>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</si>
  <si>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</si>
  <si>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</si>
  <si>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</si>
  <si>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</si>
  <si>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</si>
  <si>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</si>
  <si>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</si>
  <si>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</si>
  <si>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</si>
  <si>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</si>
  <si>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</si>
  <si>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</si>
  <si>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</si>
  <si>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</si>
  <si>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</si>
  <si>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</si>
  <si>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</si>
  <si>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</si>
  <si>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</si>
  <si>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</si>
  <si>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</si>
  <si>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</si>
  <si>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</si>
  <si>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</si>
  <si>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</si>
  <si>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</si>
  <si>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</si>
  <si>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</si>
  <si>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</si>
  <si>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</si>
  <si>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</si>
  <si>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</si>
  <si>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</si>
  <si>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Dia-Sample*</t>
  </si>
  <si>
    <t>Resistance</t>
  </si>
  <si>
    <t>Other</t>
  </si>
  <si>
    <t>APL*</t>
  </si>
  <si>
    <t>apl</t>
  </si>
  <si>
    <t>Jesper Wallisch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</si>
</sst>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03.01.2018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R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1" width="10.875" style="11" hidden="1" customWidth="1"/>
    <col min="12" max="12" width="3.125" style="12" bestFit="1" customWidth="1"/>
    <col min="13" max="13" width="17.875" style="11" customWidth="1"/>
    <col min="14" max="14" width="10.875" style="5" hidden="1" customWidth="1"/>
    <col min="15" max="15" width="3.125" style="12" bestFit="1" customWidth="1"/>
    <col min="16" max="16" width="17.875" style="11" customWidth="1"/>
    <col min="17" max="17" width="10.875" style="5" hidden="1" customWidth="1"/>
    <col min="18" max="16384" width="10.875" style="11"/>
  </cols>
  <sheetData>
    <row r="1" spans="1:18" x14ac:dyDescent="0.25">
      <c r="G1" s="12" t="s">
        <v>97</v>
      </c>
      <c r="H1" s="5"/>
      <c r="I1" s="5"/>
      <c r="J1" s="5"/>
      <c r="K1" s="5"/>
      <c r="M1" s="20"/>
    </row>
    <row r="2" spans="1:18" x14ac:dyDescent="0.25">
      <c r="G2" s="12" t="s">
        <v>69</v>
      </c>
      <c r="H2" s="5"/>
      <c r="I2" s="5"/>
      <c r="J2" s="5"/>
      <c r="K2" s="5"/>
      <c r="M2" s="20"/>
    </row>
    <row r="3" spans="1:18" x14ac:dyDescent="0.25">
      <c r="G3" s="12" t="s">
        <v>119</v>
      </c>
      <c r="H3" s="5"/>
      <c r="I3" s="5"/>
      <c r="J3" s="5"/>
      <c r="K3" s="5"/>
      <c r="M3" s="23"/>
    </row>
    <row r="4" spans="1:18" x14ac:dyDescent="0.25">
      <c r="G4" s="12" t="s">
        <v>120</v>
      </c>
      <c r="H4" s="5"/>
      <c r="I4" s="5"/>
      <c r="J4" s="5"/>
      <c r="K4" s="5"/>
      <c r="M4" s="20"/>
    </row>
    <row r="5" spans="1:18" x14ac:dyDescent="0.25">
      <c r="G5" s="12" t="s">
        <v>108</v>
      </c>
      <c r="H5" s="5"/>
      <c r="I5" s="5"/>
      <c r="J5" s="5"/>
      <c r="K5" s="5"/>
      <c r="M5" s="20"/>
    </row>
    <row r="6" spans="1:18" ht="31.5" x14ac:dyDescent="0.25">
      <c r="G6" s="13" t="s">
        <v>122</v>
      </c>
      <c r="H6" s="5"/>
      <c r="I6" s="5"/>
      <c r="J6" s="5"/>
      <c r="K6" s="5"/>
      <c r="M6" s="20"/>
    </row>
    <row r="7" spans="1:18" ht="31.5" x14ac:dyDescent="0.25">
      <c r="G7" s="13" t="s">
        <v>123</v>
      </c>
      <c r="H7" s="5"/>
      <c r="I7" s="5"/>
      <c r="J7" s="5"/>
      <c r="K7" s="5"/>
      <c r="M7" s="20"/>
    </row>
    <row r="8" spans="1:18" x14ac:dyDescent="0.25">
      <c r="G8" s="12" t="s">
        <v>121</v>
      </c>
      <c r="H8" s="5"/>
      <c r="I8" s="5"/>
      <c r="J8" s="5"/>
      <c r="K8" s="5"/>
      <c r="M8" s="22"/>
    </row>
    <row r="9" spans="1:18" x14ac:dyDescent="0.25">
      <c r="H9" s="5"/>
      <c r="I9" s="5"/>
      <c r="J9" s="5"/>
      <c r="K9" s="5"/>
    </row>
    <row r="10" spans="1:18" x14ac:dyDescent="0.25">
      <c r="H10" s="8" t="s">
        <v>94</v>
      </c>
      <c r="I10" s="9" t="s">
        <v>90</v>
      </c>
      <c r="J10" s="9" t="s">
        <v>91</v>
      </c>
      <c r="K10" s="9" t="s">
        <v>93</v>
      </c>
      <c r="M10" s="12" t="s">
        <v>23</v>
      </c>
      <c r="N10" s="24"/>
      <c r="P10" s="12" t="s">
        <v>25</v>
      </c>
    </row>
    <row r="11" spans="1:18" x14ac:dyDescent="0.25">
      <c r="F11" s="14"/>
      <c r="G11" s="14" t="s">
        <v>70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5">
      <c r="H12" s="9"/>
      <c r="I12" s="9"/>
      <c r="J12" s="9"/>
      <c r="K12" s="9"/>
    </row>
    <row r="13" spans="1:18" x14ac:dyDescent="0.25">
      <c r="H13" s="9"/>
      <c r="I13" s="9"/>
      <c r="J13" s="9"/>
      <c r="K13" s="9"/>
    </row>
    <row r="14" spans="1:18" ht="38.1" customHeight="1" thickBot="1" x14ac:dyDescent="0.3">
      <c r="A14" s="15" t="s">
        <v>84</v>
      </c>
      <c r="B14" s="16" t="s">
        <v>71</v>
      </c>
      <c r="C14" s="16" t="s">
        <v>140</v>
      </c>
      <c r="D14" s="16" t="s">
        <v>75</v>
      </c>
      <c r="E14" s="17" t="s">
        <v>77</v>
      </c>
      <c r="F14" s="16" t="s">
        <v>76</v>
      </c>
      <c r="G14" s="17" t="s">
        <v>118</v>
      </c>
      <c r="H14" s="10"/>
      <c r="I14" s="10" t="s">
        <v>90</v>
      </c>
      <c r="J14" s="10" t="s">
        <v>91</v>
      </c>
      <c r="K14" s="10"/>
      <c r="L14" s="18"/>
      <c r="M14" s="17" t="s">
        <v>128</v>
      </c>
      <c r="N14" s="7" t="s">
        <v>95</v>
      </c>
      <c r="O14" s="18"/>
      <c r="P14" s="17" t="s">
        <v>129</v>
      </c>
      <c r="Q14" s="7" t="s">
        <v>96</v>
      </c>
      <c r="R14" s="17" t="s">
        <v>137</v>
      </c>
    </row>
    <row r="15" spans="1:18" x14ac:dyDescent="0.25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5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5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5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5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5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5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6.5" thickBot="1" x14ac:dyDescent="0.3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5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5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5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5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5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5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5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6.5" thickBot="1" x14ac:dyDescent="0.3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5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5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5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5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5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5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5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6.5" thickBot="1" x14ac:dyDescent="0.3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5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5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5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5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5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5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5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6.5" thickBot="1" x14ac:dyDescent="0.3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5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5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5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5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5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5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5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6.5" thickBot="1" x14ac:dyDescent="0.3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5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5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5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5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5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5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5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6.5" thickBot="1" x14ac:dyDescent="0.3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5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5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5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5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5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5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5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6.5" thickBot="1" x14ac:dyDescent="0.3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5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5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5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5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5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5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5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6.5" thickBot="1" x14ac:dyDescent="0.3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5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5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5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5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5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5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5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6.5" thickBot="1" x14ac:dyDescent="0.3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5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5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5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5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5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5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5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6.5" thickBot="1" x14ac:dyDescent="0.3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5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5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5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5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5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5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5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6.5" thickBot="1" x14ac:dyDescent="0.3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5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5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5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5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5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5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5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6.5" thickBot="1" x14ac:dyDescent="0.3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>
      <formula1>JaNein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3" t="s">
        <v>68</v>
      </c>
      <c r="B1" s="2" t="s">
        <v>23</v>
      </c>
      <c r="C1" s="2" t="s">
        <v>95</v>
      </c>
    </row>
    <row r="2" spans="1:3" x14ac:dyDescent="0.25">
      <c r="A2" s="4">
        <v>1</v>
      </c>
      <c r="B2" t="s">
        <v>28</v>
      </c>
      <c r="C2" t="s">
        <v>29</v>
      </c>
    </row>
    <row r="3" spans="1:3" x14ac:dyDescent="0.25">
      <c r="A3" s="4">
        <v>2</v>
      </c>
      <c r="B3" t="s">
        <v>31</v>
      </c>
      <c r="C3" t="s">
        <v>32</v>
      </c>
    </row>
    <row r="4" spans="1:3" x14ac:dyDescent="0.25">
      <c r="A4" s="4">
        <v>3</v>
      </c>
      <c r="B4" t="s">
        <v>33</v>
      </c>
      <c r="C4" t="s">
        <v>34</v>
      </c>
    </row>
    <row r="5" spans="1:3" x14ac:dyDescent="0.25">
      <c r="A5" s="4">
        <v>4</v>
      </c>
      <c r="B5" t="s">
        <v>37</v>
      </c>
      <c r="C5" t="s">
        <v>38</v>
      </c>
    </row>
    <row r="6" spans="1:3" x14ac:dyDescent="0.25">
      <c r="A6" s="4">
        <v>5</v>
      </c>
      <c r="B6" t="s">
        <v>39</v>
      </c>
      <c r="C6" t="s">
        <v>40</v>
      </c>
    </row>
    <row r="7" spans="1:3" x14ac:dyDescent="0.25">
      <c r="A7" s="4">
        <v>6</v>
      </c>
      <c r="B7" t="s">
        <v>53</v>
      </c>
      <c r="C7" t="s">
        <v>54</v>
      </c>
    </row>
    <row r="8" spans="1:3" x14ac:dyDescent="0.25">
      <c r="A8" s="4">
        <v>7</v>
      </c>
      <c r="B8" t="s">
        <v>43</v>
      </c>
      <c r="C8" t="s">
        <v>44</v>
      </c>
    </row>
    <row r="9" spans="1:3" x14ac:dyDescent="0.25">
      <c r="A9" s="4">
        <v>8</v>
      </c>
      <c r="B9" t="s">
        <v>55</v>
      </c>
      <c r="C9" t="s">
        <v>56</v>
      </c>
    </row>
    <row r="10" spans="1:3" x14ac:dyDescent="0.25">
      <c r="A10" s="4">
        <v>9</v>
      </c>
      <c r="B10" t="s">
        <v>45</v>
      </c>
      <c r="C10" t="s">
        <v>46</v>
      </c>
    </row>
    <row r="11" spans="1:3" x14ac:dyDescent="0.25">
      <c r="A11" s="4">
        <v>10</v>
      </c>
      <c r="B11" t="s">
        <v>48</v>
      </c>
      <c r="C11" t="s">
        <v>49</v>
      </c>
    </row>
    <row r="12" spans="1:3" x14ac:dyDescent="0.25">
      <c r="A12" s="4">
        <v>11</v>
      </c>
      <c r="B12" t="s">
        <v>50</v>
      </c>
      <c r="C12" t="s">
        <v>57</v>
      </c>
    </row>
    <row r="13" spans="1:3" x14ac:dyDescent="0.25">
      <c r="A13" s="4">
        <v>12</v>
      </c>
      <c r="B13" t="s">
        <v>52</v>
      </c>
      <c r="C13" t="s">
        <v>58</v>
      </c>
    </row>
    <row r="14" spans="1:3" x14ac:dyDescent="0.25">
      <c r="A14" s="3" t="s">
        <v>0</v>
      </c>
      <c r="B14" s="2" t="s">
        <v>25</v>
      </c>
      <c r="C14" s="2" t="s">
        <v>96</v>
      </c>
    </row>
    <row r="15" spans="1:3" x14ac:dyDescent="0.25">
      <c r="A15" s="4">
        <v>1</v>
      </c>
      <c r="B15" t="s">
        <v>47</v>
      </c>
      <c r="C15" t="s">
        <v>59</v>
      </c>
    </row>
    <row r="16" spans="1:3" x14ac:dyDescent="0.25">
      <c r="A16" s="4">
        <v>2</v>
      </c>
      <c r="B16" t="s">
        <v>51</v>
      </c>
      <c r="C16" t="s">
        <v>60</v>
      </c>
    </row>
    <row r="17" spans="1:3" x14ac:dyDescent="0.25">
      <c r="A17" s="4">
        <v>3</v>
      </c>
      <c r="B17" t="s">
        <v>61</v>
      </c>
      <c r="C17" t="s">
        <v>62</v>
      </c>
    </row>
    <row r="18" spans="1:3" x14ac:dyDescent="0.25">
      <c r="A18" s="4">
        <v>4</v>
      </c>
      <c r="B18" t="s">
        <v>63</v>
      </c>
      <c r="C18" t="s">
        <v>64</v>
      </c>
    </row>
    <row r="19" spans="1:3" x14ac:dyDescent="0.25">
      <c r="A19" s="4">
        <v>5</v>
      </c>
      <c r="B19" t="s">
        <v>65</v>
      </c>
      <c r="C19" t="s">
        <v>66</v>
      </c>
    </row>
    <row r="20" spans="1:3" x14ac:dyDescent="0.25">
      <c r="A20" s="4">
        <v>6</v>
      </c>
      <c r="B20" t="s">
        <v>30</v>
      </c>
      <c r="C20" t="s">
        <v>67</v>
      </c>
    </row>
    <row r="21" spans="1:3" x14ac:dyDescent="0.25">
      <c r="A21" s="4">
        <v>7</v>
      </c>
      <c r="B21" t="s">
        <v>35</v>
      </c>
      <c r="C21" t="s">
        <v>36</v>
      </c>
    </row>
    <row r="22" spans="1:3" x14ac:dyDescent="0.25">
      <c r="A22" s="4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84</v>
      </c>
      <c r="B1" s="1" t="s">
        <v>90</v>
      </c>
      <c r="C1" s="1" t="s">
        <v>91</v>
      </c>
      <c r="D1" s="1" t="s">
        <v>92</v>
      </c>
      <c r="E1" s="6" t="s">
        <v>94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/>
  </sheetViews>
  <sheetFormatPr defaultColWidth="11" defaultRowHeight="15.75" x14ac:dyDescent="0.25"/>
  <sheetData>
    <row r="1" spans="1:6" s="2" customFormat="1" x14ac:dyDescent="0.25">
      <c r="A1" s="2" t="s">
        <v>79</v>
      </c>
      <c r="B1" s="2" t="s">
        <v>82</v>
      </c>
      <c r="C1" s="2" t="s">
        <v>80</v>
      </c>
      <c r="D1" s="2" t="s">
        <v>115</v>
      </c>
      <c r="E1" s="2" t="s">
        <v>134</v>
      </c>
      <c r="F1" s="2" t="s">
        <v>27</v>
      </c>
    </row>
    <row r="2" spans="1:6" x14ac:dyDescent="0.25">
      <c r="A2" t="s">
        <v>78</v>
      </c>
      <c r="B2" t="s">
        <v>83</v>
      </c>
      <c r="C2" t="s">
        <v>99</v>
      </c>
      <c r="D2" t="s">
        <v>117</v>
      </c>
      <c r="E2" t="s">
        <v>135</v>
      </c>
      <c r="F2" t="s">
        <v>138</v>
      </c>
    </row>
    <row r="3" spans="1:6" x14ac:dyDescent="0.25">
      <c r="A3" t="s">
        <v>106</v>
      </c>
      <c r="B3" t="s">
        <v>85</v>
      </c>
      <c r="C3" t="s">
        <v>81</v>
      </c>
      <c r="D3" t="s">
        <v>116</v>
      </c>
      <c r="E3" t="s">
        <v>136</v>
      </c>
      <c r="F3" t="s">
        <v>139</v>
      </c>
    </row>
    <row r="4" spans="1:6" x14ac:dyDescent="0.25">
      <c r="A4" t="s">
        <v>107</v>
      </c>
      <c r="B4" t="s">
        <v>86</v>
      </c>
      <c r="C4" t="s">
        <v>100</v>
      </c>
      <c r="D4" t="s">
        <v>130</v>
      </c>
    </row>
    <row r="5" spans="1:6" x14ac:dyDescent="0.25">
      <c r="A5" t="s">
        <v>125</v>
      </c>
      <c r="B5" t="s">
        <v>133</v>
      </c>
      <c r="C5" t="s">
        <v>101</v>
      </c>
      <c r="D5" t="s">
        <v>142</v>
      </c>
    </row>
    <row r="6" spans="1:6" x14ac:dyDescent="0.25">
      <c r="B6" t="s">
        <v>87</v>
      </c>
      <c r="C6" t="s">
        <v>102</v>
      </c>
    </row>
    <row r="7" spans="1:6" x14ac:dyDescent="0.25">
      <c r="B7" t="s">
        <v>88</v>
      </c>
      <c r="C7" t="s">
        <v>103</v>
      </c>
    </row>
    <row r="8" spans="1:6" x14ac:dyDescent="0.25">
      <c r="B8" t="s">
        <v>89</v>
      </c>
      <c r="C8" t="s">
        <v>104</v>
      </c>
    </row>
    <row r="9" spans="1:6" x14ac:dyDescent="0.25">
      <c r="C9" t="s">
        <v>131</v>
      </c>
    </row>
    <row r="10" spans="1:6" x14ac:dyDescent="0.25">
      <c r="C10" t="s">
        <v>132</v>
      </c>
    </row>
    <row r="11" spans="1:6" x14ac:dyDescent="0.25">
      <c r="C11" t="s">
        <v>124</v>
      </c>
    </row>
    <row r="12" spans="1:6" x14ac:dyDescent="0.25">
      <c r="C12" t="s">
        <v>105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126</v>
      </c>
      <c r="B3" s="5" t="str">
        <f>IF(ISBLANK('Sample Namen'!M1),"",'Sample Namen'!M1)</f>
        <v/>
      </c>
    </row>
    <row r="4" spans="1:3" x14ac:dyDescent="0.25">
      <c r="A4" s="5" t="s">
        <v>127</v>
      </c>
      <c r="B4" s="5" t="str">
        <f>IF(ISBLANK('Sample Namen'!M2),"",'Sample Namen'!M2)</f>
        <v/>
      </c>
    </row>
    <row r="5" spans="1:3" x14ac:dyDescent="0.25">
      <c r="A5" s="5" t="s">
        <v>3</v>
      </c>
      <c r="B5" s="19" t="str">
        <f>IF(ISBLANK('Sample Namen'!M3),"",'Sample Namen'!M3)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Namen'!M4),"",'Sample Namen'!M4)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109</v>
      </c>
      <c r="B11" s="5" t="str">
        <f>IF(ISBLANK('Sample Namen'!M5),"",'Sample Namen'!M5)</f>
        <v/>
      </c>
    </row>
    <row r="12" spans="1:3" x14ac:dyDescent="0.25">
      <c r="A12" s="5" t="s">
        <v>110</v>
      </c>
      <c r="B12" s="5" t="str">
        <f>IF(ISBLANK('Sample Namen'!M6),"",'Sample Namen'!M6)</f>
        <v/>
      </c>
    </row>
    <row r="13" spans="1:3" x14ac:dyDescent="0.25">
      <c r="A13" s="5" t="s">
        <v>111</v>
      </c>
      <c r="B13" s="5" t="str">
        <f>IF(ISBLANK('Sample Namen'!M7),"",'Sample Namen'!M7)</f>
        <v/>
      </c>
    </row>
    <row r="14" spans="1:3" x14ac:dyDescent="0.25">
      <c r="A14" s="5" t="s">
        <v>112</v>
      </c>
      <c r="B14" s="5" t="s">
        <v>113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72</v>
      </c>
      <c r="L24" s="5" t="s">
        <v>74</v>
      </c>
      <c r="M24" s="5" t="s">
        <v>73</v>
      </c>
      <c r="N24" s="5" t="s">
        <v>98</v>
      </c>
      <c r="O24" s="5" t="s">
        <v>114</v>
      </c>
      <c r="P24" s="5" t="s">
        <v>141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Namen'!B15),"","n")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Namen'!B16),"","n")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Namen'!B17),"","n")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Namen'!B18),"","n")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Namen'!B19),"","n")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Namen'!B20),"","n")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Namen'!B21),"","n")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Namen'!B22),"","n")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Namen'!B23),"","n")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Namen'!B24),"","n")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Namen'!B25),"","n")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Namen'!B26),"","n")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Namen'!B27),"","n")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Namen'!B28),"","n")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Namen'!B29),"","n")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Namen'!B30),"","n")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Namen'!B31),"","n")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Namen'!B32),"","n")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Namen'!B33),"","n")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Namen'!B34),"","n")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Namen'!B35),"","n")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Namen'!B36),"","n")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Namen'!B37),"","n")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Namen'!B38),"","n")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Namen'!B39),"","n")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Namen'!B40),"","n")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Namen'!B41),"","n")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Namen'!B42),"","n")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Namen'!B43),"","n")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Namen'!B44),"","n")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Namen'!B45),"","n")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Namen'!B46),"","n")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Namen'!B47),"","n")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Namen'!B48),"","n")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Namen'!B49),"","n")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Namen'!B50),"","n")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Namen'!B51),"","n")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Namen'!B52),"","n")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Namen'!B53),"","n")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Namen'!B54),"","n")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Namen'!B55),"","n")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Namen'!B56),"","n")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Namen'!B57),"","n")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Namen'!B58),"","n")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Namen'!B59),"","n")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Namen'!B60),"","n")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Namen'!B61),"","n")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Namen'!B62),"","n")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Namen'!B63),"","n")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Namen'!B64),"","n")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Namen'!B65),"","n")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Namen'!B66),"","n")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Namen'!B67),"","n")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Namen'!B68),"","n")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Namen'!B69),"","n")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Namen'!B70),"","n")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Namen'!B71),"","n")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Namen'!B72),"","n")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Namen'!B73),"","n")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Namen'!B74),"","n")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Namen'!B75),"","n")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Namen'!B76),"","n")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Namen'!B77),"","n")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Namen'!B78),"","n")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Namen'!B79),"","n")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Namen'!B80),"","n")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Namen'!B81),"","n")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Namen'!B82),"","n")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Namen'!B83),"","n")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Namen'!B84),"","n")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Namen'!B85),"","n")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Namen'!B86),"","n")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Namen'!B87),"","n")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Namen'!B88),"","n")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Namen'!B89),"","n")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Namen'!B90),"","n")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Namen'!B91),"","n")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Namen'!B92),"","n")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Namen'!B93),"","n")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Namen'!B94),"","n")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Namen'!B95),"","n")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Namen'!B96),"","n")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Namen'!B97),"","n")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Namen'!B98),"","n")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Namen'!B99),"","n")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Namen'!B100),"","n")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Namen'!B101),"","n")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Namen'!B102),"","n")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Namen'!B103),"","n")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Namen'!B104),"","n")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Namen'!B105),"","n")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Namen'!B106),"","n")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Namen'!B107),"","n")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Namen'!B108),"","n")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Namen'!B109),"","n")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Namen'!B110),"","n")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groupt</dc:creator>
  <cp:lastModifiedBy>groupt</cp:lastModifiedBy>
  <dcterms:created xsi:type="dcterms:W3CDTF">2017-02-13T11:04:29Z</dcterms:created>
  <dcterms:modified xsi:type="dcterms:W3CDTF">2018-01-03T08:10:53Z</dcterms:modified>
</cp:coreProperties>
</file>