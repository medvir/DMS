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chmutz.stefan/GitHub/DMS/Templates/Resistance/"/>
    </mc:Choice>
  </mc:AlternateContent>
  <xr:revisionPtr revIDLastSave="0" documentId="8_{E9D289B1-F208-4A41-A6D9-1482E2675BCF}" xr6:coauthVersionLast="47" xr6:coauthVersionMax="47" xr10:uidLastSave="{00000000-0000-0000-0000-000000000000}"/>
  <bookViews>
    <workbookView xWindow="0" yWindow="500" windowWidth="32880" windowHeight="19320" tabRatio="500" xr2:uid="{00000000-000D-0000-FFFF-FFFF00000000}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infos'!$D$2:$D$6</definedName>
    <definedName name="Sample_Project">'Virus and Target infos'!$F$2:$F$4</definedName>
    <definedName name="Target">'Virus and Target infos'!$C$2:$C$12</definedName>
    <definedName name="Virus">'Virus and Target infos'!$A$2:$A$9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6" i="2" l="1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H15" i="1"/>
  <c r="H16" i="1"/>
  <c r="H17" i="1"/>
  <c r="J17" i="1"/>
  <c r="P17" i="1"/>
  <c r="H18" i="1"/>
  <c r="J18" i="1"/>
  <c r="P18" i="1"/>
  <c r="H19" i="1"/>
  <c r="J19" i="1"/>
  <c r="P19" i="1"/>
  <c r="H20" i="1"/>
  <c r="J20" i="1"/>
  <c r="P20" i="1"/>
  <c r="Q20" i="1"/>
  <c r="H21" i="1"/>
  <c r="J21" i="1"/>
  <c r="P21" i="1"/>
  <c r="H22" i="1"/>
  <c r="J22" i="1"/>
  <c r="P22" i="1"/>
  <c r="H23" i="1"/>
  <c r="J23" i="1"/>
  <c r="P23" i="1"/>
  <c r="Q23" i="1"/>
  <c r="H33" i="2" s="1"/>
  <c r="H24" i="1"/>
  <c r="J24" i="1"/>
  <c r="P24" i="1"/>
  <c r="Q24" i="1"/>
  <c r="H34" i="2" s="1"/>
  <c r="H25" i="1"/>
  <c r="J25" i="1"/>
  <c r="P25" i="1"/>
  <c r="Q25" i="1"/>
  <c r="H26" i="1"/>
  <c r="J26" i="1"/>
  <c r="P26" i="1"/>
  <c r="G36" i="2" s="1"/>
  <c r="Q26" i="1"/>
  <c r="H36" i="2" s="1"/>
  <c r="H27" i="1"/>
  <c r="J27" i="1"/>
  <c r="P27" i="1"/>
  <c r="G37" i="2" s="1"/>
  <c r="Q27" i="1"/>
  <c r="H37" i="2" s="1"/>
  <c r="H28" i="1"/>
  <c r="J28" i="1"/>
  <c r="P28" i="1"/>
  <c r="G38" i="2" s="1"/>
  <c r="Q28" i="1"/>
  <c r="H38" i="2" s="1"/>
  <c r="H29" i="1"/>
  <c r="J29" i="1"/>
  <c r="P29" i="1"/>
  <c r="Q29" i="1"/>
  <c r="H39" i="2" s="1"/>
  <c r="H30" i="1"/>
  <c r="J30" i="1"/>
  <c r="P30" i="1"/>
  <c r="G40" i="2" s="1"/>
  <c r="Q30" i="1"/>
  <c r="H40" i="2" s="1"/>
  <c r="H31" i="1"/>
  <c r="J31" i="1"/>
  <c r="P31" i="1"/>
  <c r="Q31" i="1"/>
  <c r="H41" i="2" s="1"/>
  <c r="H32" i="1"/>
  <c r="J32" i="1"/>
  <c r="P32" i="1"/>
  <c r="Q32" i="1"/>
  <c r="H42" i="2" s="1"/>
  <c r="H33" i="1"/>
  <c r="J33" i="1"/>
  <c r="P33" i="1"/>
  <c r="Q33" i="1"/>
  <c r="H43" i="2" s="1"/>
  <c r="H34" i="1"/>
  <c r="J34" i="1"/>
  <c r="P34" i="1"/>
  <c r="G44" i="2"/>
  <c r="Q34" i="1"/>
  <c r="H44" i="2" s="1"/>
  <c r="H35" i="1"/>
  <c r="J35" i="1"/>
  <c r="P35" i="1"/>
  <c r="Q35" i="1"/>
  <c r="H45" i="2"/>
  <c r="H36" i="1"/>
  <c r="J36" i="1"/>
  <c r="P36" i="1"/>
  <c r="G46" i="2"/>
  <c r="Q36" i="1"/>
  <c r="H46" i="2"/>
  <c r="H37" i="1"/>
  <c r="J37" i="1"/>
  <c r="P37" i="1"/>
  <c r="Q37" i="1"/>
  <c r="H47" i="2" s="1"/>
  <c r="H38" i="1"/>
  <c r="J38" i="1"/>
  <c r="P38" i="1"/>
  <c r="G48" i="2" s="1"/>
  <c r="Q38" i="1"/>
  <c r="H48" i="2" s="1"/>
  <c r="H39" i="1"/>
  <c r="J39" i="1"/>
  <c r="P39" i="1"/>
  <c r="Q39" i="1"/>
  <c r="H49" i="2" s="1"/>
  <c r="H40" i="1"/>
  <c r="J40" i="1"/>
  <c r="P40" i="1"/>
  <c r="Q40" i="1"/>
  <c r="H50" i="2" s="1"/>
  <c r="H41" i="1"/>
  <c r="J41" i="1"/>
  <c r="P41" i="1"/>
  <c r="Q41" i="1"/>
  <c r="H42" i="1"/>
  <c r="J42" i="1"/>
  <c r="P42" i="1"/>
  <c r="G52" i="2" s="1"/>
  <c r="Q42" i="1"/>
  <c r="H52" i="2" s="1"/>
  <c r="H43" i="1"/>
  <c r="J43" i="1"/>
  <c r="P43" i="1"/>
  <c r="Q43" i="1"/>
  <c r="H53" i="2" s="1"/>
  <c r="H44" i="1"/>
  <c r="J44" i="1"/>
  <c r="P44" i="1"/>
  <c r="Q44" i="1"/>
  <c r="H54" i="2" s="1"/>
  <c r="H45" i="1"/>
  <c r="J45" i="1"/>
  <c r="P45" i="1"/>
  <c r="Q45" i="1"/>
  <c r="H55" i="2" s="1"/>
  <c r="H46" i="1"/>
  <c r="J46" i="1"/>
  <c r="P46" i="1"/>
  <c r="G56" i="2" s="1"/>
  <c r="Q46" i="1"/>
  <c r="H56" i="2" s="1"/>
  <c r="H47" i="1"/>
  <c r="J47" i="1"/>
  <c r="P47" i="1"/>
  <c r="Q47" i="1"/>
  <c r="H57" i="2" s="1"/>
  <c r="H48" i="1"/>
  <c r="J48" i="1"/>
  <c r="P48" i="1"/>
  <c r="Q48" i="1"/>
  <c r="H58" i="2" s="1"/>
  <c r="H49" i="1"/>
  <c r="J49" i="1"/>
  <c r="P49" i="1"/>
  <c r="Q49" i="1"/>
  <c r="H59" i="2" s="1"/>
  <c r="H50" i="1"/>
  <c r="J50" i="1"/>
  <c r="P50" i="1"/>
  <c r="G60" i="2"/>
  <c r="Q50" i="1"/>
  <c r="H60" i="2" s="1"/>
  <c r="H51" i="1"/>
  <c r="J51" i="1"/>
  <c r="P51" i="1"/>
  <c r="Q51" i="1"/>
  <c r="H52" i="1"/>
  <c r="J52" i="1"/>
  <c r="P52" i="1"/>
  <c r="G62" i="2" s="1"/>
  <c r="Q52" i="1"/>
  <c r="H62" i="2" s="1"/>
  <c r="H53" i="1"/>
  <c r="J53" i="1"/>
  <c r="P53" i="1"/>
  <c r="Q53" i="1"/>
  <c r="H63" i="2" s="1"/>
  <c r="H54" i="1"/>
  <c r="J54" i="1"/>
  <c r="P54" i="1"/>
  <c r="G64" i="2" s="1"/>
  <c r="Q54" i="1"/>
  <c r="H64" i="2" s="1"/>
  <c r="H55" i="1"/>
  <c r="J55" i="1"/>
  <c r="P55" i="1"/>
  <c r="Q55" i="1"/>
  <c r="H56" i="1"/>
  <c r="J56" i="1"/>
  <c r="P56" i="1"/>
  <c r="Q56" i="1"/>
  <c r="H66" i="2" s="1"/>
  <c r="H57" i="1"/>
  <c r="J57" i="1"/>
  <c r="P57" i="1"/>
  <c r="Q57" i="1"/>
  <c r="H67" i="2" s="1"/>
  <c r="H58" i="1"/>
  <c r="J58" i="1"/>
  <c r="P58" i="1"/>
  <c r="G68" i="2" s="1"/>
  <c r="Q58" i="1"/>
  <c r="H68" i="2" s="1"/>
  <c r="H59" i="1"/>
  <c r="J59" i="1"/>
  <c r="P59" i="1"/>
  <c r="Q59" i="1"/>
  <c r="H69" i="2" s="1"/>
  <c r="H60" i="1"/>
  <c r="J60" i="1"/>
  <c r="P60" i="1"/>
  <c r="Q60" i="1"/>
  <c r="H70" i="2" s="1"/>
  <c r="Q61" i="1"/>
  <c r="H71" i="2" s="1"/>
  <c r="Q62" i="1"/>
  <c r="H72" i="2" s="1"/>
  <c r="Q63" i="1"/>
  <c r="Q64" i="1"/>
  <c r="H74" i="2" s="1"/>
  <c r="Q65" i="1"/>
  <c r="H75" i="2" s="1"/>
  <c r="Q66" i="1"/>
  <c r="H76" i="2" s="1"/>
  <c r="Q67" i="1"/>
  <c r="H77" i="2"/>
  <c r="Q68" i="1"/>
  <c r="H78" i="2" s="1"/>
  <c r="Q69" i="1"/>
  <c r="H79" i="2" s="1"/>
  <c r="Q70" i="1"/>
  <c r="Q71" i="1"/>
  <c r="Q72" i="1"/>
  <c r="H82" i="2" s="1"/>
  <c r="Q73" i="1"/>
  <c r="H83" i="2" s="1"/>
  <c r="Q74" i="1"/>
  <c r="H84" i="2"/>
  <c r="Q75" i="1"/>
  <c r="Q76" i="1"/>
  <c r="H86" i="2" s="1"/>
  <c r="Q77" i="1"/>
  <c r="H87" i="2"/>
  <c r="Q78" i="1"/>
  <c r="H88" i="2"/>
  <c r="Q79" i="1"/>
  <c r="Q80" i="1"/>
  <c r="H90" i="2" s="1"/>
  <c r="Q81" i="1"/>
  <c r="H91" i="2"/>
  <c r="Q82" i="1"/>
  <c r="H92" i="2" s="1"/>
  <c r="Q83" i="1"/>
  <c r="Q84" i="1"/>
  <c r="H94" i="2" s="1"/>
  <c r="Q85" i="1"/>
  <c r="H95" i="2" s="1"/>
  <c r="Q86" i="1"/>
  <c r="H96" i="2" s="1"/>
  <c r="Q87" i="1"/>
  <c r="Q88" i="1"/>
  <c r="H98" i="2" s="1"/>
  <c r="Q89" i="1"/>
  <c r="H99" i="2" s="1"/>
  <c r="Q90" i="1"/>
  <c r="H100" i="2" s="1"/>
  <c r="Q91" i="1"/>
  <c r="H101" i="2" s="1"/>
  <c r="Q92" i="1"/>
  <c r="H102" i="2" s="1"/>
  <c r="Q93" i="1"/>
  <c r="H103" i="2" s="1"/>
  <c r="Q94" i="1"/>
  <c r="H104" i="2" s="1"/>
  <c r="Q95" i="1"/>
  <c r="Q96" i="1"/>
  <c r="H106" i="2" s="1"/>
  <c r="Q97" i="1"/>
  <c r="H107" i="2" s="1"/>
  <c r="Q98" i="1"/>
  <c r="H108" i="2" s="1"/>
  <c r="Q99" i="1"/>
  <c r="H109" i="2" s="1"/>
  <c r="Q100" i="1"/>
  <c r="H110" i="2" s="1"/>
  <c r="Q101" i="1"/>
  <c r="H111" i="2" s="1"/>
  <c r="Q102" i="1"/>
  <c r="Q103" i="1"/>
  <c r="Q104" i="1"/>
  <c r="H114" i="2" s="1"/>
  <c r="Q105" i="1"/>
  <c r="H115" i="2" s="1"/>
  <c r="Q106" i="1"/>
  <c r="H116" i="2" s="1"/>
  <c r="Q107" i="1"/>
  <c r="H117" i="2" s="1"/>
  <c r="Q108" i="1"/>
  <c r="H118" i="2" s="1"/>
  <c r="Q109" i="1"/>
  <c r="H109" i="1"/>
  <c r="H110" i="1"/>
  <c r="J110" i="1"/>
  <c r="P110" i="1"/>
  <c r="G120" i="2" s="1"/>
  <c r="Q110" i="1"/>
  <c r="H120" i="2" s="1"/>
  <c r="J15" i="1"/>
  <c r="P15" i="1"/>
  <c r="I17" i="1"/>
  <c r="K18" i="1" s="1"/>
  <c r="M17" i="1"/>
  <c r="N17" i="1"/>
  <c r="F27" i="2" s="1"/>
  <c r="I18" i="1"/>
  <c r="M18" i="1"/>
  <c r="I19" i="1"/>
  <c r="M19" i="1"/>
  <c r="E29" i="2" s="1"/>
  <c r="I20" i="1"/>
  <c r="M20" i="1"/>
  <c r="I22" i="1"/>
  <c r="M22" i="1"/>
  <c r="I23" i="1"/>
  <c r="M23" i="1"/>
  <c r="E33" i="2" s="1"/>
  <c r="N23" i="1"/>
  <c r="F33" i="2" s="1"/>
  <c r="I24" i="1"/>
  <c r="M24" i="1"/>
  <c r="E34" i="2"/>
  <c r="N24" i="1"/>
  <c r="F34" i="2" s="1"/>
  <c r="I25" i="1"/>
  <c r="K26" i="1" s="1"/>
  <c r="M25" i="1"/>
  <c r="N25" i="1"/>
  <c r="I26" i="1"/>
  <c r="M26" i="1"/>
  <c r="E36" i="2" s="1"/>
  <c r="N26" i="1"/>
  <c r="F36" i="2" s="1"/>
  <c r="I27" i="1"/>
  <c r="K28" i="1" s="1"/>
  <c r="M27" i="1"/>
  <c r="E37" i="2" s="1"/>
  <c r="N27" i="1"/>
  <c r="F37" i="2" s="1"/>
  <c r="I28" i="1"/>
  <c r="M28" i="1"/>
  <c r="N28" i="1"/>
  <c r="F38" i="2"/>
  <c r="I29" i="1"/>
  <c r="M29" i="1"/>
  <c r="E39" i="2" s="1"/>
  <c r="N29" i="1"/>
  <c r="I30" i="1"/>
  <c r="M30" i="1"/>
  <c r="E40" i="2" s="1"/>
  <c r="N30" i="1"/>
  <c r="F40" i="2" s="1"/>
  <c r="I31" i="1"/>
  <c r="M31" i="1"/>
  <c r="E41" i="2" s="1"/>
  <c r="N31" i="1"/>
  <c r="F41" i="2" s="1"/>
  <c r="I32" i="1"/>
  <c r="M32" i="1"/>
  <c r="E42" i="2" s="1"/>
  <c r="N32" i="1"/>
  <c r="F42" i="2" s="1"/>
  <c r="I33" i="1"/>
  <c r="M33" i="1"/>
  <c r="N33" i="1"/>
  <c r="I34" i="1"/>
  <c r="M34" i="1"/>
  <c r="E44" i="2" s="1"/>
  <c r="N34" i="1"/>
  <c r="F44" i="2" s="1"/>
  <c r="I35" i="1"/>
  <c r="I36" i="1"/>
  <c r="M35" i="1"/>
  <c r="N35" i="1"/>
  <c r="F45" i="2" s="1"/>
  <c r="M36" i="1"/>
  <c r="E46" i="2" s="1"/>
  <c r="N36" i="1"/>
  <c r="F46" i="2" s="1"/>
  <c r="I37" i="1"/>
  <c r="M37" i="1"/>
  <c r="E47" i="2" s="1"/>
  <c r="N37" i="1"/>
  <c r="F47" i="2" s="1"/>
  <c r="I38" i="1"/>
  <c r="M38" i="1"/>
  <c r="E48" i="2" s="1"/>
  <c r="N38" i="1"/>
  <c r="F48" i="2" s="1"/>
  <c r="I39" i="1"/>
  <c r="M39" i="1"/>
  <c r="E49" i="2" s="1"/>
  <c r="N39" i="1"/>
  <c r="F49" i="2" s="1"/>
  <c r="I40" i="1"/>
  <c r="M40" i="1"/>
  <c r="E50" i="2" s="1"/>
  <c r="N40" i="1"/>
  <c r="I41" i="1"/>
  <c r="M41" i="1"/>
  <c r="N41" i="1"/>
  <c r="I42" i="1"/>
  <c r="M42" i="1"/>
  <c r="E52" i="2" s="1"/>
  <c r="N42" i="1"/>
  <c r="F52" i="2" s="1"/>
  <c r="I43" i="1"/>
  <c r="M43" i="1"/>
  <c r="E53" i="2" s="1"/>
  <c r="N43" i="1"/>
  <c r="F53" i="2" s="1"/>
  <c r="I44" i="1"/>
  <c r="M44" i="1"/>
  <c r="E54" i="2" s="1"/>
  <c r="N44" i="1"/>
  <c r="F54" i="2" s="1"/>
  <c r="I45" i="1"/>
  <c r="M45" i="1"/>
  <c r="E55" i="2" s="1"/>
  <c r="N45" i="1"/>
  <c r="F55" i="2" s="1"/>
  <c r="I46" i="1"/>
  <c r="M46" i="1"/>
  <c r="E56" i="2" s="1"/>
  <c r="N46" i="1"/>
  <c r="F56" i="2" s="1"/>
  <c r="I47" i="1"/>
  <c r="M47" i="1"/>
  <c r="E57" i="2" s="1"/>
  <c r="N47" i="1"/>
  <c r="F57" i="2" s="1"/>
  <c r="I48" i="1"/>
  <c r="M48" i="1"/>
  <c r="E58" i="2" s="1"/>
  <c r="N48" i="1"/>
  <c r="F58" i="2" s="1"/>
  <c r="I49" i="1"/>
  <c r="M49" i="1"/>
  <c r="E59" i="2" s="1"/>
  <c r="N49" i="1"/>
  <c r="I50" i="1"/>
  <c r="M50" i="1"/>
  <c r="E60" i="2" s="1"/>
  <c r="N50" i="1"/>
  <c r="F60" i="2" s="1"/>
  <c r="I51" i="1"/>
  <c r="K51" i="1" s="1"/>
  <c r="M51" i="1"/>
  <c r="E61" i="2" s="1"/>
  <c r="N51" i="1"/>
  <c r="F61" i="2" s="1"/>
  <c r="I52" i="1"/>
  <c r="M52" i="1"/>
  <c r="E62" i="2" s="1"/>
  <c r="N52" i="1"/>
  <c r="F62" i="2" s="1"/>
  <c r="I53" i="1"/>
  <c r="K54" i="1" s="1"/>
  <c r="M53" i="1"/>
  <c r="E63" i="2" s="1"/>
  <c r="N53" i="1"/>
  <c r="F63" i="2" s="1"/>
  <c r="I54" i="1"/>
  <c r="I55" i="1"/>
  <c r="M54" i="1"/>
  <c r="E64" i="2" s="1"/>
  <c r="N54" i="1"/>
  <c r="F64" i="2" s="1"/>
  <c r="M55" i="1"/>
  <c r="E65" i="2" s="1"/>
  <c r="N55" i="1"/>
  <c r="F65" i="2" s="1"/>
  <c r="I56" i="1"/>
  <c r="M56" i="1"/>
  <c r="E66" i="2" s="1"/>
  <c r="N56" i="1"/>
  <c r="F66" i="2" s="1"/>
  <c r="I57" i="1"/>
  <c r="K58" i="1" s="1"/>
  <c r="M57" i="1"/>
  <c r="N57" i="1"/>
  <c r="I58" i="1"/>
  <c r="M58" i="1"/>
  <c r="E68" i="2" s="1"/>
  <c r="N58" i="1"/>
  <c r="F68" i="2" s="1"/>
  <c r="I59" i="1"/>
  <c r="M59" i="1"/>
  <c r="N59" i="1"/>
  <c r="F69" i="2"/>
  <c r="I60" i="1"/>
  <c r="K60" i="1" s="1"/>
  <c r="M60" i="1"/>
  <c r="E70" i="2" s="1"/>
  <c r="N60" i="1"/>
  <c r="F70" i="2" s="1"/>
  <c r="N61" i="1"/>
  <c r="F71" i="2" s="1"/>
  <c r="N62" i="1"/>
  <c r="F72" i="2" s="1"/>
  <c r="N63" i="1"/>
  <c r="F73" i="2" s="1"/>
  <c r="N64" i="1"/>
  <c r="F74" i="2" s="1"/>
  <c r="N65" i="1"/>
  <c r="F75" i="2" s="1"/>
  <c r="N66" i="1"/>
  <c r="N67" i="1"/>
  <c r="N68" i="1"/>
  <c r="F78" i="2"/>
  <c r="N69" i="1"/>
  <c r="F79" i="2" s="1"/>
  <c r="N70" i="1"/>
  <c r="F80" i="2" s="1"/>
  <c r="N71" i="1"/>
  <c r="F81" i="2"/>
  <c r="N72" i="1"/>
  <c r="F82" i="2" s="1"/>
  <c r="N73" i="1"/>
  <c r="F83" i="2" s="1"/>
  <c r="N74" i="1"/>
  <c r="N75" i="1"/>
  <c r="N76" i="1"/>
  <c r="F86" i="2"/>
  <c r="N77" i="1"/>
  <c r="F87" i="2" s="1"/>
  <c r="N78" i="1"/>
  <c r="F88" i="2" s="1"/>
  <c r="N79" i="1"/>
  <c r="F89" i="2" s="1"/>
  <c r="N80" i="1"/>
  <c r="N81" i="1"/>
  <c r="F91" i="2" s="1"/>
  <c r="N82" i="1"/>
  <c r="F92" i="2" s="1"/>
  <c r="N83" i="1"/>
  <c r="F93" i="2" s="1"/>
  <c r="N84" i="1"/>
  <c r="F94" i="2" s="1"/>
  <c r="N85" i="1"/>
  <c r="F95" i="2" s="1"/>
  <c r="N86" i="1"/>
  <c r="F96" i="2" s="1"/>
  <c r="N87" i="1"/>
  <c r="F97" i="2"/>
  <c r="N88" i="1"/>
  <c r="N89" i="1"/>
  <c r="F99" i="2" s="1"/>
  <c r="N90" i="1"/>
  <c r="F100" i="2" s="1"/>
  <c r="N91" i="1"/>
  <c r="F101" i="2" s="1"/>
  <c r="N92" i="1"/>
  <c r="F102" i="2" s="1"/>
  <c r="N93" i="1"/>
  <c r="F103" i="2" s="1"/>
  <c r="N94" i="1"/>
  <c r="F104" i="2" s="1"/>
  <c r="N95" i="1"/>
  <c r="F105" i="2" s="1"/>
  <c r="N96" i="1"/>
  <c r="F106" i="2" s="1"/>
  <c r="N97" i="1"/>
  <c r="F107" i="2" s="1"/>
  <c r="N98" i="1"/>
  <c r="F108" i="2" s="1"/>
  <c r="N99" i="1"/>
  <c r="N100" i="1"/>
  <c r="F110" i="2" s="1"/>
  <c r="N101" i="1"/>
  <c r="F111" i="2" s="1"/>
  <c r="N102" i="1"/>
  <c r="F112" i="2" s="1"/>
  <c r="N103" i="1"/>
  <c r="F113" i="2" s="1"/>
  <c r="N104" i="1"/>
  <c r="F114" i="2" s="1"/>
  <c r="N105" i="1"/>
  <c r="F115" i="2" s="1"/>
  <c r="N106" i="1"/>
  <c r="F116" i="2" s="1"/>
  <c r="N107" i="1"/>
  <c r="N108" i="1"/>
  <c r="F118" i="2" s="1"/>
  <c r="N109" i="1"/>
  <c r="F119" i="2" s="1"/>
  <c r="I110" i="1"/>
  <c r="K110" i="1" s="1"/>
  <c r="M110" i="1"/>
  <c r="E120" i="2" s="1"/>
  <c r="N110" i="1"/>
  <c r="F120" i="2" s="1"/>
  <c r="I15" i="1"/>
  <c r="M15" i="1"/>
  <c r="E25" i="2" s="1"/>
  <c r="I61" i="1"/>
  <c r="I62" i="1"/>
  <c r="I63" i="1"/>
  <c r="I64" i="1"/>
  <c r="I65" i="1"/>
  <c r="I66" i="1"/>
  <c r="I67" i="1"/>
  <c r="I68" i="1"/>
  <c r="I69" i="1"/>
  <c r="I70" i="1"/>
  <c r="K70" i="1" s="1"/>
  <c r="I71" i="1"/>
  <c r="I72" i="1"/>
  <c r="I73" i="1"/>
  <c r="I74" i="1"/>
  <c r="I75" i="1"/>
  <c r="I76" i="1"/>
  <c r="K76" i="1" s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K94" i="1" s="1"/>
  <c r="I95" i="1"/>
  <c r="I96" i="1"/>
  <c r="I97" i="1"/>
  <c r="I98" i="1"/>
  <c r="I99" i="1"/>
  <c r="I100" i="1"/>
  <c r="I101" i="1"/>
  <c r="I102" i="1"/>
  <c r="I103" i="1"/>
  <c r="I104" i="1"/>
  <c r="I105" i="1"/>
  <c r="I106" i="1"/>
  <c r="K106" i="1" s="1"/>
  <c r="I107" i="1"/>
  <c r="I108" i="1"/>
  <c r="I109" i="1"/>
  <c r="B11" i="2"/>
  <c r="B13" i="2"/>
  <c r="B12" i="2"/>
  <c r="I11" i="1"/>
  <c r="J11" i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N11" i="1"/>
  <c r="Q11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61" i="1"/>
  <c r="G71" i="2" s="1"/>
  <c r="P62" i="1"/>
  <c r="G72" i="2" s="1"/>
  <c r="P63" i="1"/>
  <c r="G73" i="2" s="1"/>
  <c r="P64" i="1"/>
  <c r="G74" i="2" s="1"/>
  <c r="P65" i="1"/>
  <c r="G75" i="2" s="1"/>
  <c r="P66" i="1"/>
  <c r="G76" i="2" s="1"/>
  <c r="P67" i="1"/>
  <c r="G77" i="2" s="1"/>
  <c r="P68" i="1"/>
  <c r="G78" i="2" s="1"/>
  <c r="P69" i="1"/>
  <c r="G79" i="2" s="1"/>
  <c r="P70" i="1"/>
  <c r="G80" i="2"/>
  <c r="P71" i="1"/>
  <c r="G81" i="2" s="1"/>
  <c r="P72" i="1"/>
  <c r="G82" i="2" s="1"/>
  <c r="P73" i="1"/>
  <c r="G83" i="2"/>
  <c r="P74" i="1"/>
  <c r="G84" i="2" s="1"/>
  <c r="P75" i="1"/>
  <c r="G85" i="2" s="1"/>
  <c r="P76" i="1"/>
  <c r="P77" i="1"/>
  <c r="G87" i="2" s="1"/>
  <c r="P78" i="1"/>
  <c r="G88" i="2"/>
  <c r="P79" i="1"/>
  <c r="G89" i="2" s="1"/>
  <c r="P80" i="1"/>
  <c r="G90" i="2" s="1"/>
  <c r="P81" i="1"/>
  <c r="G91" i="2"/>
  <c r="P82" i="1"/>
  <c r="G92" i="2" s="1"/>
  <c r="P83" i="1"/>
  <c r="G93" i="2" s="1"/>
  <c r="P84" i="1"/>
  <c r="G94" i="2" s="1"/>
  <c r="P85" i="1"/>
  <c r="G95" i="2" s="1"/>
  <c r="P86" i="1"/>
  <c r="G96" i="2" s="1"/>
  <c r="P87" i="1"/>
  <c r="G97" i="2" s="1"/>
  <c r="P88" i="1"/>
  <c r="G98" i="2" s="1"/>
  <c r="P89" i="1"/>
  <c r="G99" i="2" s="1"/>
  <c r="P90" i="1"/>
  <c r="G100" i="2" s="1"/>
  <c r="P91" i="1"/>
  <c r="G101" i="2" s="1"/>
  <c r="P92" i="1"/>
  <c r="P93" i="1"/>
  <c r="P94" i="1"/>
  <c r="G104" i="2" s="1"/>
  <c r="P95" i="1"/>
  <c r="G105" i="2" s="1"/>
  <c r="P96" i="1"/>
  <c r="G106" i="2" s="1"/>
  <c r="P97" i="1"/>
  <c r="G107" i="2" s="1"/>
  <c r="P98" i="1"/>
  <c r="G108" i="2" s="1"/>
  <c r="P99" i="1"/>
  <c r="G109" i="2" s="1"/>
  <c r="P100" i="1"/>
  <c r="P101" i="1"/>
  <c r="P102" i="1"/>
  <c r="G112" i="2"/>
  <c r="P103" i="1"/>
  <c r="G113" i="2" s="1"/>
  <c r="P104" i="1"/>
  <c r="G114" i="2" s="1"/>
  <c r="P105" i="1"/>
  <c r="G115" i="2" s="1"/>
  <c r="P106" i="1"/>
  <c r="G116" i="2" s="1"/>
  <c r="P107" i="1"/>
  <c r="G117" i="2" s="1"/>
  <c r="P108" i="1"/>
  <c r="G118" i="2" s="1"/>
  <c r="P109" i="1"/>
  <c r="G119" i="2" s="1"/>
  <c r="M61" i="1"/>
  <c r="E71" i="2" s="1"/>
  <c r="M62" i="1"/>
  <c r="E72" i="2" s="1"/>
  <c r="M63" i="1"/>
  <c r="E73" i="2" s="1"/>
  <c r="M64" i="1"/>
  <c r="E74" i="2" s="1"/>
  <c r="M65" i="1"/>
  <c r="E75" i="2" s="1"/>
  <c r="M66" i="1"/>
  <c r="E76" i="2" s="1"/>
  <c r="M67" i="1"/>
  <c r="E77" i="2" s="1"/>
  <c r="M68" i="1"/>
  <c r="E78" i="2" s="1"/>
  <c r="M69" i="1"/>
  <c r="E79" i="2" s="1"/>
  <c r="M70" i="1"/>
  <c r="E80" i="2" s="1"/>
  <c r="M71" i="1"/>
  <c r="E81" i="2" s="1"/>
  <c r="M72" i="1"/>
  <c r="E82" i="2" s="1"/>
  <c r="M73" i="1"/>
  <c r="E83" i="2" s="1"/>
  <c r="M74" i="1"/>
  <c r="E84" i="2" s="1"/>
  <c r="M75" i="1"/>
  <c r="E85" i="2" s="1"/>
  <c r="M76" i="1"/>
  <c r="E86" i="2" s="1"/>
  <c r="M77" i="1"/>
  <c r="E87" i="2" s="1"/>
  <c r="M78" i="1"/>
  <c r="E88" i="2" s="1"/>
  <c r="M79" i="1"/>
  <c r="E89" i="2" s="1"/>
  <c r="M80" i="1"/>
  <c r="E90" i="2" s="1"/>
  <c r="M81" i="1"/>
  <c r="E91" i="2" s="1"/>
  <c r="M82" i="1"/>
  <c r="E92" i="2" s="1"/>
  <c r="M83" i="1"/>
  <c r="E93" i="2" s="1"/>
  <c r="M84" i="1"/>
  <c r="M85" i="1"/>
  <c r="E95" i="2" s="1"/>
  <c r="M86" i="1"/>
  <c r="E96" i="2" s="1"/>
  <c r="M87" i="1"/>
  <c r="E97" i="2" s="1"/>
  <c r="M88" i="1"/>
  <c r="E98" i="2" s="1"/>
  <c r="M89" i="1"/>
  <c r="E99" i="2" s="1"/>
  <c r="M90" i="1"/>
  <c r="E100" i="2" s="1"/>
  <c r="M91" i="1"/>
  <c r="E101" i="2" s="1"/>
  <c r="M92" i="1"/>
  <c r="E102" i="2" s="1"/>
  <c r="M93" i="1"/>
  <c r="E103" i="2" s="1"/>
  <c r="M94" i="1"/>
  <c r="E104" i="2" s="1"/>
  <c r="M95" i="1"/>
  <c r="M96" i="1"/>
  <c r="E106" i="2" s="1"/>
  <c r="M97" i="1"/>
  <c r="E107" i="2" s="1"/>
  <c r="M98" i="1"/>
  <c r="E108" i="2" s="1"/>
  <c r="M99" i="1"/>
  <c r="E109" i="2" s="1"/>
  <c r="M100" i="1"/>
  <c r="M101" i="1"/>
  <c r="E111" i="2" s="1"/>
  <c r="M102" i="1"/>
  <c r="E112" i="2" s="1"/>
  <c r="M103" i="1"/>
  <c r="E113" i="2"/>
  <c r="M104" i="1"/>
  <c r="E114" i="2" s="1"/>
  <c r="M105" i="1"/>
  <c r="E115" i="2" s="1"/>
  <c r="M106" i="1"/>
  <c r="E116" i="2" s="1"/>
  <c r="M107" i="1"/>
  <c r="E117" i="2" s="1"/>
  <c r="M108" i="1"/>
  <c r="E118" i="2" s="1"/>
  <c r="M109" i="1"/>
  <c r="E119" i="2" s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G30" i="2"/>
  <c r="H30" i="2"/>
  <c r="G33" i="2"/>
  <c r="G34" i="2"/>
  <c r="E35" i="2"/>
  <c r="F35" i="2"/>
  <c r="G35" i="2"/>
  <c r="H35" i="2"/>
  <c r="E38" i="2"/>
  <c r="F39" i="2"/>
  <c r="G39" i="2"/>
  <c r="G41" i="2"/>
  <c r="G42" i="2"/>
  <c r="E43" i="2"/>
  <c r="F43" i="2"/>
  <c r="G43" i="2"/>
  <c r="E45" i="2"/>
  <c r="G45" i="2"/>
  <c r="G47" i="2"/>
  <c r="G49" i="2"/>
  <c r="F50" i="2"/>
  <c r="G50" i="2"/>
  <c r="E51" i="2"/>
  <c r="F51" i="2"/>
  <c r="G51" i="2"/>
  <c r="H51" i="2"/>
  <c r="G53" i="2"/>
  <c r="G54" i="2"/>
  <c r="G55" i="2"/>
  <c r="G57" i="2"/>
  <c r="G58" i="2"/>
  <c r="F59" i="2"/>
  <c r="G59" i="2"/>
  <c r="G61" i="2"/>
  <c r="H61" i="2"/>
  <c r="G63" i="2"/>
  <c r="G65" i="2"/>
  <c r="H65" i="2"/>
  <c r="G66" i="2"/>
  <c r="E67" i="2"/>
  <c r="F67" i="2"/>
  <c r="G67" i="2"/>
  <c r="E69" i="2"/>
  <c r="G69" i="2"/>
  <c r="G70" i="2"/>
  <c r="H73" i="2"/>
  <c r="F76" i="2"/>
  <c r="F77" i="2"/>
  <c r="H80" i="2"/>
  <c r="H81" i="2"/>
  <c r="F84" i="2"/>
  <c r="F85" i="2"/>
  <c r="H85" i="2"/>
  <c r="G86" i="2"/>
  <c r="H89" i="2"/>
  <c r="F90" i="2"/>
  <c r="H93" i="2"/>
  <c r="E94" i="2"/>
  <c r="H97" i="2"/>
  <c r="F98" i="2"/>
  <c r="G102" i="2"/>
  <c r="G103" i="2"/>
  <c r="E105" i="2"/>
  <c r="H105" i="2"/>
  <c r="F109" i="2"/>
  <c r="E110" i="2"/>
  <c r="G110" i="2"/>
  <c r="G111" i="2"/>
  <c r="H112" i="2"/>
  <c r="H113" i="2"/>
  <c r="F117" i="2"/>
  <c r="H119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G26" i="2" s="1"/>
  <c r="I16" i="1"/>
  <c r="K24" i="1"/>
  <c r="E32" i="2"/>
  <c r="N22" i="1"/>
  <c r="F32" i="2"/>
  <c r="Q22" i="1"/>
  <c r="H32" i="2" s="1"/>
  <c r="G32" i="2"/>
  <c r="Q21" i="1"/>
  <c r="H31" i="2" s="1"/>
  <c r="G31" i="2"/>
  <c r="I21" i="1"/>
  <c r="K22" i="1" s="1"/>
  <c r="M21" i="1"/>
  <c r="E31" i="2" s="1"/>
  <c r="N20" i="1"/>
  <c r="F30" i="2" s="1"/>
  <c r="E30" i="2"/>
  <c r="K99" i="1"/>
  <c r="K31" i="1"/>
  <c r="K23" i="1"/>
  <c r="Q19" i="1"/>
  <c r="H29" i="2" s="1"/>
  <c r="G29" i="2"/>
  <c r="N19" i="1"/>
  <c r="F29" i="2" s="1"/>
  <c r="K63" i="1"/>
  <c r="K100" i="1"/>
  <c r="E28" i="2"/>
  <c r="N18" i="1"/>
  <c r="F28" i="2" s="1"/>
  <c r="Q18" i="1"/>
  <c r="H28" i="2" s="1"/>
  <c r="G28" i="2"/>
  <c r="K20" i="1"/>
  <c r="K93" i="1"/>
  <c r="K19" i="1"/>
  <c r="K33" i="1"/>
  <c r="G27" i="2"/>
  <c r="Q17" i="1"/>
  <c r="H27" i="2" s="1"/>
  <c r="K88" i="1"/>
  <c r="K72" i="1"/>
  <c r="K37" i="1"/>
  <c r="K29" i="1"/>
  <c r="K50" i="1"/>
  <c r="K34" i="1"/>
  <c r="K75" i="1"/>
  <c r="Q16" i="1"/>
  <c r="H26" i="2" s="1"/>
  <c r="K32" i="1"/>
  <c r="K59" i="1"/>
  <c r="M16" i="1"/>
  <c r="E26" i="2" s="1"/>
  <c r="K82" i="1"/>
  <c r="N15" i="1"/>
  <c r="F25" i="2"/>
  <c r="Q15" i="1"/>
  <c r="H25" i="2" s="1"/>
  <c r="G25" i="2"/>
  <c r="K87" i="1"/>
  <c r="K81" i="1"/>
  <c r="K64" i="1"/>
  <c r="K69" i="1"/>
  <c r="K35" i="1"/>
  <c r="K105" i="1"/>
  <c r="K38" i="1"/>
  <c r="K30" i="1"/>
  <c r="N21" i="1"/>
  <c r="F31" i="2" s="1"/>
  <c r="N16" i="1"/>
  <c r="F26" i="2" s="1"/>
  <c r="K21" i="1" l="1"/>
  <c r="K48" i="1"/>
  <c r="K47" i="1"/>
  <c r="K109" i="1"/>
  <c r="K104" i="1"/>
  <c r="K98" i="1"/>
  <c r="K91" i="1"/>
  <c r="K86" i="1"/>
  <c r="K80" i="1"/>
  <c r="K73" i="1"/>
  <c r="K68" i="1"/>
  <c r="K62" i="1"/>
  <c r="K107" i="1"/>
  <c r="K101" i="1"/>
  <c r="K95" i="1"/>
  <c r="K89" i="1"/>
  <c r="K83" i="1"/>
  <c r="K77" i="1"/>
  <c r="K71" i="1"/>
  <c r="K65" i="1"/>
  <c r="K74" i="1"/>
  <c r="K97" i="1"/>
  <c r="K49" i="1"/>
  <c r="K36" i="1"/>
  <c r="K45" i="1"/>
  <c r="K42" i="1"/>
  <c r="K40" i="1"/>
  <c r="K39" i="1"/>
  <c r="K17" i="1"/>
  <c r="K92" i="1"/>
  <c r="K27" i="1"/>
  <c r="K55" i="1"/>
  <c r="K25" i="1"/>
  <c r="K41" i="1"/>
  <c r="K43" i="1"/>
  <c r="K53" i="1"/>
  <c r="K44" i="1"/>
  <c r="K108" i="1"/>
  <c r="K52" i="1"/>
  <c r="K102" i="1"/>
  <c r="K96" i="1"/>
  <c r="K90" i="1"/>
  <c r="K84" i="1"/>
  <c r="K79" i="1"/>
  <c r="K67" i="1"/>
  <c r="K57" i="1"/>
  <c r="K66" i="1"/>
  <c r="K46" i="1"/>
  <c r="K78" i="1"/>
  <c r="K16" i="1"/>
  <c r="K11" i="1"/>
  <c r="E6" i="5" s="1"/>
  <c r="K103" i="1"/>
  <c r="K56" i="1"/>
  <c r="K85" i="1"/>
  <c r="K61" i="1"/>
  <c r="E75" i="5" l="1"/>
  <c r="E13" i="5"/>
  <c r="E16" i="5"/>
  <c r="E73" i="5"/>
  <c r="E65" i="5"/>
  <c r="E8" i="5"/>
  <c r="E82" i="5"/>
  <c r="E40" i="5"/>
  <c r="E74" i="5"/>
  <c r="E56" i="5"/>
  <c r="E64" i="5"/>
  <c r="E49" i="5"/>
  <c r="E4" i="5"/>
  <c r="E17" i="5"/>
  <c r="E97" i="5"/>
  <c r="E51" i="5"/>
  <c r="E84" i="5"/>
  <c r="E58" i="5"/>
  <c r="E60" i="5"/>
  <c r="E24" i="5"/>
  <c r="E81" i="5"/>
  <c r="E46" i="5"/>
  <c r="E50" i="5"/>
  <c r="E27" i="5"/>
  <c r="E78" i="5"/>
  <c r="E48" i="5"/>
  <c r="E25" i="5"/>
  <c r="E21" i="5"/>
  <c r="E11" i="5"/>
  <c r="E41" i="5"/>
  <c r="E28" i="5"/>
  <c r="E87" i="5"/>
  <c r="E35" i="5"/>
  <c r="E22" i="5"/>
  <c r="E59" i="5"/>
  <c r="E20" i="5"/>
  <c r="E95" i="5"/>
  <c r="E10" i="5"/>
  <c r="E57" i="5"/>
  <c r="E5" i="5"/>
  <c r="E90" i="5"/>
  <c r="E68" i="5"/>
  <c r="E72" i="5"/>
  <c r="E86" i="5"/>
  <c r="E47" i="5"/>
  <c r="E67" i="5"/>
  <c r="E54" i="5"/>
  <c r="E15" i="5"/>
  <c r="E45" i="5"/>
  <c r="E42" i="5"/>
  <c r="E34" i="5"/>
  <c r="E38" i="5"/>
  <c r="E85" i="5"/>
  <c r="E43" i="5"/>
  <c r="E30" i="5"/>
  <c r="E9" i="5"/>
  <c r="E77" i="5"/>
  <c r="E53" i="5"/>
  <c r="E63" i="5"/>
  <c r="E29" i="5"/>
  <c r="E55" i="5"/>
  <c r="E79" i="5"/>
  <c r="E71" i="5"/>
  <c r="E3" i="5"/>
  <c r="E91" i="5"/>
  <c r="E39" i="5"/>
  <c r="E26" i="5"/>
  <c r="E31" i="5"/>
  <c r="E88" i="5"/>
  <c r="E52" i="5"/>
  <c r="E7" i="5"/>
  <c r="E44" i="5"/>
  <c r="E33" i="5"/>
  <c r="E2" i="5"/>
  <c r="E76" i="5"/>
  <c r="E18" i="5"/>
  <c r="E70" i="5"/>
  <c r="E62" i="5"/>
  <c r="E66" i="5"/>
  <c r="E23" i="5"/>
  <c r="E32" i="5"/>
  <c r="E96" i="5"/>
  <c r="E12" i="5"/>
  <c r="E94" i="5"/>
  <c r="E83" i="5"/>
  <c r="E69" i="5"/>
  <c r="E92" i="5"/>
  <c r="E80" i="5"/>
  <c r="E14" i="5"/>
  <c r="E37" i="5"/>
  <c r="E93" i="5"/>
  <c r="E89" i="5"/>
  <c r="E36" i="5"/>
  <c r="E61" i="5"/>
  <c r="E19" i="5"/>
  <c r="H11" i="1"/>
</calcChain>
</file>

<file path=xl/sharedStrings.xml><?xml version="1.0" encoding="utf-8"?>
<sst xmlns="http://schemas.openxmlformats.org/spreadsheetml/2006/main" count="165" uniqueCount="150">
  <si>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</si>
  <si>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</si>
  <si>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</si>
  <si>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</si>
  <si>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</si>
  <si>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</si>
  <si>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</si>
  <si>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</si>
  <si>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</si>
  <si>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</si>
  <si>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</si>
  <si>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</si>
  <si>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</si>
  <si>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</si>
  <si>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</si>
  <si>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</si>
  <si>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</si>
  <si>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</si>
  <si>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</si>
  <si>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</si>
  <si>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</si>
  <si>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</si>
  <si>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</si>
  <si>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</si>
  <si>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</si>
  <si>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</si>
  <si>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</si>
  <si>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</si>
  <si>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</si>
  <si>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</si>
  <si>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</si>
  <si>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</si>
  <si>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</si>
  <si>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</si>
  <si>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</si>
  <si>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</si>
  <si>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</si>
  <si>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</si>
  <si>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</si>
  <si>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</si>
  <si>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</si>
  <si>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</si>
  <si>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</si>
  <si>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</si>
  <si>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</si>
  <si>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N710</t>
  </si>
  <si>
    <t>CGAGGCTG</t>
  </si>
  <si>
    <t>N711</t>
  </si>
  <si>
    <t>S502</t>
  </si>
  <si>
    <t>N712</t>
  </si>
  <si>
    <t>N706</t>
  </si>
  <si>
    <t>TAGGCATG</t>
  </si>
  <si>
    <t>AAGAGGCA</t>
  </si>
  <si>
    <t>GTAGAGGA</t>
  </si>
  <si>
    <t>CTCTCTAT</t>
  </si>
  <si>
    <t>S503</t>
  </si>
  <si>
    <t>TATCCTCT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</si>
  <si>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</si>
  <si>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</si>
  <si>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</si>
  <si>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</si>
  <si>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</si>
  <si>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</si>
  <si>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</si>
  <si>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</si>
  <si>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</si>
  <si>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</si>
  <si>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</si>
  <si>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</si>
  <si>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</si>
  <si>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</si>
  <si>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</si>
  <si>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</si>
  <si>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</si>
  <si>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</si>
  <si>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</si>
  <si>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</si>
  <si>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</si>
  <si>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</si>
  <si>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</si>
  <si>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</si>
  <si>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</si>
  <si>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</si>
  <si>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</si>
  <si>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</si>
  <si>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</si>
  <si>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</si>
  <si>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</si>
  <si>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</si>
  <si>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</si>
  <si>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</si>
  <si>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</si>
  <si>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</si>
  <si>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</si>
  <si>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</si>
  <si>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</si>
  <si>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</si>
  <si>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</si>
  <si>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</si>
  <si>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</si>
  <si>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</si>
  <si>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</si>
  <si>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</si>
  <si>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</si>
  <si>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</si>
  <si>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</si>
  <si>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</si>
  <si>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</si>
  <si>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</si>
  <si>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</si>
  <si>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</si>
  <si>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</si>
  <si>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</si>
  <si>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</si>
  <si>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</si>
  <si>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</si>
  <si>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</si>
  <si>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</si>
  <si>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</si>
  <si>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</si>
  <si>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</si>
  <si>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</si>
  <si>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</si>
  <si>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</si>
  <si>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</si>
  <si>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</si>
  <si>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</si>
  <si>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</si>
  <si>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</si>
  <si>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Genotyp*</t>
  </si>
  <si>
    <t>HHV-1</t>
  </si>
  <si>
    <t>IV-A</t>
  </si>
  <si>
    <t>IV-B</t>
  </si>
  <si>
    <t>H1N1</t>
  </si>
  <si>
    <t>H3N2</t>
  </si>
  <si>
    <t>S510</t>
  </si>
  <si>
    <t>S511</t>
  </si>
  <si>
    <t>CGTCTAAT</t>
  </si>
  <si>
    <t>TCTCTCCG</t>
  </si>
  <si>
    <t>N714</t>
  </si>
  <si>
    <t>N715</t>
  </si>
  <si>
    <t>GCTCATGA</t>
  </si>
  <si>
    <t>ATCTCAGG</t>
  </si>
  <si>
    <t>Projekt*</t>
  </si>
  <si>
    <t>SARS-CoV-2</t>
  </si>
  <si>
    <t>Consensus</t>
  </si>
  <si>
    <t>Daniela Lang</t>
  </si>
  <si>
    <t>Experiment Name</t>
  </si>
  <si>
    <t>Nadine Rist</t>
  </si>
  <si>
    <t>CMV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</si>
</sst>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0</xdr:rowOff>
        </xdr:from>
        <xdr:to>
          <xdr:col>5</xdr:col>
          <xdr:colOff>152400</xdr:colOff>
          <xdr:row>5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</xdr:row>
          <xdr:rowOff>101600</xdr:rowOff>
        </xdr:from>
        <xdr:to>
          <xdr:col>5</xdr:col>
          <xdr:colOff>152400</xdr:colOff>
          <xdr:row>4</xdr:row>
          <xdr:rowOff>63500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21.07.2022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110"/>
  <sheetViews>
    <sheetView tabSelected="1" workbookViewId="0"/>
  </sheetViews>
  <sheetFormatPr baseColWidth="10" defaultColWidth="10.83203125" defaultRowHeight="16" x14ac:dyDescent="0.2"/>
  <cols>
    <col min="1" max="1" width="3.5" style="11" bestFit="1" customWidth="1"/>
    <col min="2" max="2" width="28.6640625" style="11" customWidth="1"/>
    <col min="3" max="4" width="10.1640625" style="11" customWidth="1"/>
    <col min="5" max="5" width="11.6640625" style="11" customWidth="1"/>
    <col min="6" max="6" width="11.5" style="11" customWidth="1"/>
    <col min="7" max="7" width="26.5" style="11" customWidth="1"/>
    <col min="8" max="11" width="10.83203125" style="11" hidden="1" customWidth="1"/>
    <col min="12" max="12" width="3.1640625" style="12" bestFit="1" customWidth="1"/>
    <col min="13" max="13" width="17.83203125" style="11" customWidth="1"/>
    <col min="14" max="14" width="10.83203125" style="5" hidden="1" customWidth="1"/>
    <col min="15" max="15" width="3.1640625" style="12" bestFit="1" customWidth="1"/>
    <col min="16" max="16" width="17.83203125" style="11" customWidth="1"/>
    <col min="17" max="17" width="10.83203125" style="5" hidden="1" customWidth="1"/>
    <col min="18" max="16384" width="10.83203125" style="11"/>
  </cols>
  <sheetData>
    <row r="1" spans="1:18" x14ac:dyDescent="0.2">
      <c r="G1" s="12" t="s">
        <v>87</v>
      </c>
      <c r="H1" s="5"/>
      <c r="I1" s="5"/>
      <c r="J1" s="5"/>
      <c r="K1" s="5"/>
      <c r="M1" s="20"/>
    </row>
    <row r="2" spans="1:18" x14ac:dyDescent="0.2">
      <c r="G2" s="12" t="s">
        <v>61</v>
      </c>
      <c r="H2" s="5"/>
      <c r="I2" s="5"/>
      <c r="J2" s="5"/>
      <c r="K2" s="5"/>
      <c r="M2" s="20"/>
    </row>
    <row r="3" spans="1:18" x14ac:dyDescent="0.2">
      <c r="G3" s="12" t="s">
        <v>109</v>
      </c>
      <c r="H3" s="5"/>
      <c r="I3" s="5"/>
      <c r="J3" s="5"/>
      <c r="K3" s="5"/>
      <c r="M3" s="23"/>
    </row>
    <row r="4" spans="1:18" x14ac:dyDescent="0.2">
      <c r="G4" s="12" t="s">
        <v>110</v>
      </c>
      <c r="H4" s="5"/>
      <c r="I4" s="5"/>
      <c r="J4" s="5"/>
      <c r="K4" s="5"/>
      <c r="M4" s="20"/>
    </row>
    <row r="5" spans="1:18" x14ac:dyDescent="0.2">
      <c r="G5" s="12" t="s">
        <v>98</v>
      </c>
      <c r="H5" s="5"/>
      <c r="I5" s="5"/>
      <c r="J5" s="5"/>
      <c r="K5" s="5"/>
      <c r="M5" s="20"/>
    </row>
    <row r="6" spans="1:18" ht="34" x14ac:dyDescent="0.2">
      <c r="G6" s="13" t="s">
        <v>112</v>
      </c>
      <c r="H6" s="5"/>
      <c r="I6" s="5"/>
      <c r="J6" s="5"/>
      <c r="K6" s="5"/>
      <c r="M6" s="20"/>
    </row>
    <row r="7" spans="1:18" ht="34" x14ac:dyDescent="0.2">
      <c r="G7" s="13" t="s">
        <v>113</v>
      </c>
      <c r="H7" s="5"/>
      <c r="I7" s="5"/>
      <c r="J7" s="5"/>
      <c r="K7" s="5"/>
      <c r="M7" s="20"/>
    </row>
    <row r="8" spans="1:18" x14ac:dyDescent="0.2">
      <c r="G8" s="12" t="s">
        <v>111</v>
      </c>
      <c r="H8" s="5"/>
      <c r="I8" s="5"/>
      <c r="J8" s="5"/>
      <c r="K8" s="5"/>
      <c r="M8" s="22"/>
    </row>
    <row r="9" spans="1:18" x14ac:dyDescent="0.2">
      <c r="H9" s="5"/>
      <c r="I9" s="5"/>
      <c r="J9" s="5"/>
      <c r="K9" s="5"/>
    </row>
    <row r="10" spans="1:18" x14ac:dyDescent="0.2">
      <c r="H10" s="8" t="s">
        <v>84</v>
      </c>
      <c r="I10" s="9" t="s">
        <v>80</v>
      </c>
      <c r="J10" s="9" t="s">
        <v>81</v>
      </c>
      <c r="K10" s="9" t="s">
        <v>83</v>
      </c>
      <c r="M10" s="12" t="s">
        <v>23</v>
      </c>
      <c r="N10" s="24"/>
      <c r="P10" s="12" t="s">
        <v>25</v>
      </c>
    </row>
    <row r="11" spans="1:18" ht="17" x14ac:dyDescent="0.2">
      <c r="F11" s="14"/>
      <c r="G11" s="14" t="s">
        <v>62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">
      <c r="H12" s="9"/>
      <c r="I12" s="9"/>
      <c r="J12" s="9"/>
      <c r="K12" s="9"/>
    </row>
    <row r="13" spans="1:18" x14ac:dyDescent="0.2">
      <c r="H13" s="9"/>
      <c r="I13" s="9"/>
      <c r="J13" s="9"/>
      <c r="K13" s="9"/>
    </row>
    <row r="14" spans="1:18" ht="38" customHeight="1" thickBot="1" x14ac:dyDescent="0.25">
      <c r="A14" s="15" t="s">
        <v>74</v>
      </c>
      <c r="B14" s="16" t="s">
        <v>63</v>
      </c>
      <c r="C14" s="16" t="s">
        <v>127</v>
      </c>
      <c r="D14" s="16" t="s">
        <v>67</v>
      </c>
      <c r="E14" s="17" t="s">
        <v>129</v>
      </c>
      <c r="F14" s="16" t="s">
        <v>70</v>
      </c>
      <c r="G14" s="17" t="s">
        <v>108</v>
      </c>
      <c r="H14" s="10"/>
      <c r="I14" s="10" t="s">
        <v>80</v>
      </c>
      <c r="J14" s="10" t="s">
        <v>81</v>
      </c>
      <c r="K14" s="10"/>
      <c r="L14" s="18"/>
      <c r="M14" s="17" t="s">
        <v>116</v>
      </c>
      <c r="N14" s="7" t="s">
        <v>85</v>
      </c>
      <c r="O14" s="18"/>
      <c r="P14" s="17" t="s">
        <v>117</v>
      </c>
      <c r="Q14" s="7" t="s">
        <v>86</v>
      </c>
      <c r="R14" s="17" t="s">
        <v>143</v>
      </c>
    </row>
    <row r="15" spans="1:18" x14ac:dyDescent="0.2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7" thickBot="1" x14ac:dyDescent="0.25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7" thickBot="1" x14ac:dyDescent="0.25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7" thickBot="1" x14ac:dyDescent="0.25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7" thickBot="1" x14ac:dyDescent="0.25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7" thickBot="1" x14ac:dyDescent="0.25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7" thickBot="1" x14ac:dyDescent="0.25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7" thickBot="1" x14ac:dyDescent="0.25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7" thickBot="1" x14ac:dyDescent="0.25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7" thickBot="1" x14ac:dyDescent="0.25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7" thickBot="1" x14ac:dyDescent="0.25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7" thickBot="1" x14ac:dyDescent="0.25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7" thickBot="1" x14ac:dyDescent="0.25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conditionalFormatting sqref="M15:M110">
    <cfRule type="expression" dxfId="0" priority="1">
      <formula>AND(K15&lt;&gt;1,K15&lt;&gt;-11)</formula>
    </cfRule>
  </conditionalFormatting>
  <dataValidations disablePrompts="1" count="15">
    <dataValidation type="list" allowBlank="1" showInputMessage="1" showErrorMessage="1" errorTitle="I7_Index_ID ungültig" error="Stelle sicher, dass eine gültige I7_Index_ID aus der Dropdown-Liste ausgewählt wurde." sqref="M11" xr:uid="{00000000-0002-0000-0000-000000000000}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 xr:uid="{00000000-0002-0000-0000-000001000000}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 xr:uid="{00000000-0002-0000-0000-000002000000}">
      <formula1>Virus</formula1>
    </dataValidation>
    <dataValidation type="list" allowBlank="1" showInputMessage="1" showErrorMessage="1" errorTitle="Target ungültig" error="Stelle sicher, dass ein Target aus der Dropdown-Liste ausgewählt wurde." sqref="F15:F110" xr:uid="{00000000-0002-0000-0000-000003000000}">
      <formula1>Target</formula1>
    </dataValidation>
    <dataValidation allowBlank="1" showInputMessage="1" showErrorMessage="1" errorTitle="Beschreibung ungültig" error="Stelle sicher, dass eine Beschreibung aus der Dropdown-Liste ausgewählt wurde." sqref="M4" xr:uid="{00000000-0002-0000-0000-000004000000}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 xr:uid="{00000000-0002-0000-0000-000005000000}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 xr:uid="{00000000-0002-0000-0000-000006000000}">
      <formula1>0</formula1>
    </dataValidation>
    <dataValidation type="list" allowBlank="1" showInputMessage="1" showErrorMessage="1" errorTitle="Operator Name ungültig" error="Stelle sicher, dass ein Operator Name aus der Dropdown-Liste ausgewählt wurde." sqref="M1" xr:uid="{00000000-0002-0000-0000-000007000000}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 xr:uid="{00000000-0002-0000-0000-000008000000}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 xr:uid="{00000000-0002-0000-0000-000009000000}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 xr:uid="{00000000-0002-0000-0000-00000A000000}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 xr:uid="{00000000-0002-0000-0000-00000B000000}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 xr:uid="{00000000-0002-0000-0000-00000C000000}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 xr:uid="{00000000-0002-0000-0000-00000D000000}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in gültiges Projekt aus der Dropdown Liste auswählen." sqref="R15:R110" xr:uid="{00000000-0002-0000-0000-00000E000000}">
      <formula1>Sample_Project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12700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12700</xdr:colOff>
                    <xdr:row>2</xdr:row>
                    <xdr:rowOff>101600</xdr:rowOff>
                  </from>
                  <to>
                    <xdr:col>5</xdr:col>
                    <xdr:colOff>152400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2"/>
  <sheetViews>
    <sheetView workbookViewId="0"/>
  </sheetViews>
  <sheetFormatPr baseColWidth="10" defaultColWidth="11" defaultRowHeight="16" x14ac:dyDescent="0.2"/>
  <sheetData>
    <row r="1" spans="1:3" x14ac:dyDescent="0.2">
      <c r="A1" s="3" t="s">
        <v>60</v>
      </c>
      <c r="B1" s="2" t="s">
        <v>23</v>
      </c>
      <c r="C1" s="2" t="s">
        <v>85</v>
      </c>
    </row>
    <row r="2" spans="1:3" x14ac:dyDescent="0.2">
      <c r="A2" s="4">
        <v>1</v>
      </c>
      <c r="B2" t="s">
        <v>28</v>
      </c>
      <c r="C2" t="s">
        <v>29</v>
      </c>
    </row>
    <row r="3" spans="1:3" x14ac:dyDescent="0.2">
      <c r="A3" s="4">
        <v>2</v>
      </c>
      <c r="B3" t="s">
        <v>31</v>
      </c>
      <c r="C3" t="s">
        <v>32</v>
      </c>
    </row>
    <row r="4" spans="1:3" x14ac:dyDescent="0.2">
      <c r="A4" s="4">
        <v>3</v>
      </c>
      <c r="B4" t="s">
        <v>33</v>
      </c>
      <c r="C4" t="s">
        <v>34</v>
      </c>
    </row>
    <row r="5" spans="1:3" x14ac:dyDescent="0.2">
      <c r="A5" s="4">
        <v>4</v>
      </c>
      <c r="B5" t="s">
        <v>37</v>
      </c>
      <c r="C5" t="s">
        <v>38</v>
      </c>
    </row>
    <row r="6" spans="1:3" x14ac:dyDescent="0.2">
      <c r="A6" s="4">
        <v>5</v>
      </c>
      <c r="B6" t="s">
        <v>39</v>
      </c>
      <c r="C6" t="s">
        <v>40</v>
      </c>
    </row>
    <row r="7" spans="1:3" x14ac:dyDescent="0.2">
      <c r="A7" s="4">
        <v>6</v>
      </c>
      <c r="B7" t="s">
        <v>50</v>
      </c>
      <c r="C7" t="s">
        <v>51</v>
      </c>
    </row>
    <row r="8" spans="1:3" x14ac:dyDescent="0.2">
      <c r="A8" s="4">
        <v>7</v>
      </c>
      <c r="B8" t="s">
        <v>43</v>
      </c>
      <c r="C8" t="s">
        <v>44</v>
      </c>
    </row>
    <row r="9" spans="1:3" x14ac:dyDescent="0.2">
      <c r="A9" s="4">
        <v>8</v>
      </c>
      <c r="B9" t="s">
        <v>45</v>
      </c>
      <c r="C9" t="s">
        <v>46</v>
      </c>
    </row>
    <row r="10" spans="1:3" x14ac:dyDescent="0.2">
      <c r="A10" s="4">
        <v>9</v>
      </c>
      <c r="B10" t="s">
        <v>47</v>
      </c>
      <c r="C10" t="s">
        <v>52</v>
      </c>
    </row>
    <row r="11" spans="1:3" x14ac:dyDescent="0.2">
      <c r="A11" s="4">
        <v>10</v>
      </c>
      <c r="B11" t="s">
        <v>49</v>
      </c>
      <c r="C11" t="s">
        <v>53</v>
      </c>
    </row>
    <row r="12" spans="1:3" x14ac:dyDescent="0.2">
      <c r="A12" s="4">
        <v>11</v>
      </c>
      <c r="B12" t="s">
        <v>139</v>
      </c>
      <c r="C12" t="s">
        <v>141</v>
      </c>
    </row>
    <row r="13" spans="1:3" x14ac:dyDescent="0.2">
      <c r="A13" s="4">
        <v>12</v>
      </c>
      <c r="B13" t="s">
        <v>140</v>
      </c>
      <c r="C13" t="s">
        <v>142</v>
      </c>
    </row>
    <row r="14" spans="1:3" x14ac:dyDescent="0.2">
      <c r="A14" s="3" t="s">
        <v>0</v>
      </c>
      <c r="B14" s="2" t="s">
        <v>25</v>
      </c>
      <c r="C14" s="2" t="s">
        <v>86</v>
      </c>
    </row>
    <row r="15" spans="1:3" x14ac:dyDescent="0.2">
      <c r="A15" s="4">
        <v>1</v>
      </c>
      <c r="B15" t="s">
        <v>48</v>
      </c>
      <c r="C15" t="s">
        <v>54</v>
      </c>
    </row>
    <row r="16" spans="1:3" x14ac:dyDescent="0.2">
      <c r="A16" s="4">
        <v>2</v>
      </c>
      <c r="B16" t="s">
        <v>55</v>
      </c>
      <c r="C16" t="s">
        <v>56</v>
      </c>
    </row>
    <row r="17" spans="1:3" x14ac:dyDescent="0.2">
      <c r="A17" s="4">
        <v>3</v>
      </c>
      <c r="B17" t="s">
        <v>57</v>
      </c>
      <c r="C17" t="s">
        <v>58</v>
      </c>
    </row>
    <row r="18" spans="1:3" x14ac:dyDescent="0.2">
      <c r="A18" s="4">
        <v>4</v>
      </c>
      <c r="B18" t="s">
        <v>30</v>
      </c>
      <c r="C18" t="s">
        <v>59</v>
      </c>
    </row>
    <row r="19" spans="1:3" x14ac:dyDescent="0.2">
      <c r="A19" s="4">
        <v>5</v>
      </c>
      <c r="B19" t="s">
        <v>35</v>
      </c>
      <c r="C19" t="s">
        <v>36</v>
      </c>
    </row>
    <row r="20" spans="1:3" x14ac:dyDescent="0.2">
      <c r="A20" s="4">
        <v>6</v>
      </c>
      <c r="B20" t="s">
        <v>41</v>
      </c>
      <c r="C20" t="s">
        <v>42</v>
      </c>
    </row>
    <row r="21" spans="1:3" x14ac:dyDescent="0.2">
      <c r="A21" s="4">
        <v>7</v>
      </c>
      <c r="B21" t="s">
        <v>135</v>
      </c>
      <c r="C21" t="s">
        <v>137</v>
      </c>
    </row>
    <row r="22" spans="1:3" x14ac:dyDescent="0.2">
      <c r="A22" s="4">
        <v>8</v>
      </c>
      <c r="B22" t="s">
        <v>136</v>
      </c>
      <c r="C22" t="s">
        <v>138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97"/>
  <sheetViews>
    <sheetView workbookViewId="0">
      <selection activeCell="S29" sqref="S29"/>
    </sheetView>
  </sheetViews>
  <sheetFormatPr baseColWidth="10" defaultColWidth="11" defaultRowHeight="16" x14ac:dyDescent="0.2"/>
  <cols>
    <col min="5" max="5" width="11" bestFit="1" customWidth="1"/>
  </cols>
  <sheetData>
    <row r="1" spans="1:5" x14ac:dyDescent="0.2">
      <c r="A1" s="1" t="s">
        <v>74</v>
      </c>
      <c r="B1" s="1" t="s">
        <v>80</v>
      </c>
      <c r="C1" s="1" t="s">
        <v>81</v>
      </c>
      <c r="D1" s="1" t="s">
        <v>82</v>
      </c>
      <c r="E1" s="6" t="s">
        <v>84</v>
      </c>
    </row>
    <row r="2" spans="1:5" x14ac:dyDescent="0.2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2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2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2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2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2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2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2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2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2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2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2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2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2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2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2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2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2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2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2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2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2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2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2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2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2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2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2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2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2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2"/>
  <sheetViews>
    <sheetView workbookViewId="0"/>
  </sheetViews>
  <sheetFormatPr baseColWidth="10" defaultColWidth="11" defaultRowHeight="16" x14ac:dyDescent="0.2"/>
  <sheetData>
    <row r="1" spans="1:6" s="2" customFormat="1" x14ac:dyDescent="0.2">
      <c r="A1" s="2" t="s">
        <v>69</v>
      </c>
      <c r="B1" s="2" t="s">
        <v>72</v>
      </c>
      <c r="C1" s="2" t="s">
        <v>70</v>
      </c>
      <c r="D1" s="2" t="s">
        <v>105</v>
      </c>
      <c r="E1" s="2" t="s">
        <v>122</v>
      </c>
      <c r="F1" s="2" t="s">
        <v>27</v>
      </c>
    </row>
    <row r="2" spans="1:6" x14ac:dyDescent="0.2">
      <c r="A2" t="s">
        <v>68</v>
      </c>
      <c r="B2" t="s">
        <v>73</v>
      </c>
      <c r="C2" t="s">
        <v>89</v>
      </c>
      <c r="D2" t="s">
        <v>107</v>
      </c>
      <c r="E2" t="s">
        <v>123</v>
      </c>
      <c r="F2" t="s">
        <v>125</v>
      </c>
    </row>
    <row r="3" spans="1:6" x14ac:dyDescent="0.2">
      <c r="A3" t="s">
        <v>96</v>
      </c>
      <c r="B3" t="s">
        <v>75</v>
      </c>
      <c r="C3" t="s">
        <v>71</v>
      </c>
      <c r="D3" t="s">
        <v>106</v>
      </c>
      <c r="E3" t="s">
        <v>124</v>
      </c>
      <c r="F3" t="s">
        <v>145</v>
      </c>
    </row>
    <row r="4" spans="1:6" x14ac:dyDescent="0.2">
      <c r="A4" t="s">
        <v>97</v>
      </c>
      <c r="B4" t="s">
        <v>76</v>
      </c>
      <c r="C4" t="s">
        <v>90</v>
      </c>
      <c r="D4" t="s">
        <v>118</v>
      </c>
      <c r="F4" t="s">
        <v>126</v>
      </c>
    </row>
    <row r="5" spans="1:6" x14ac:dyDescent="0.2">
      <c r="A5" t="s">
        <v>130</v>
      </c>
      <c r="B5" t="s">
        <v>121</v>
      </c>
      <c r="C5" t="s">
        <v>91</v>
      </c>
      <c r="D5" t="s">
        <v>146</v>
      </c>
    </row>
    <row r="6" spans="1:6" x14ac:dyDescent="0.2">
      <c r="A6" t="s">
        <v>131</v>
      </c>
      <c r="B6" t="s">
        <v>77</v>
      </c>
      <c r="C6" t="s">
        <v>92</v>
      </c>
      <c r="D6" t="s">
        <v>148</v>
      </c>
    </row>
    <row r="7" spans="1:6" x14ac:dyDescent="0.2">
      <c r="A7" t="s">
        <v>132</v>
      </c>
      <c r="B7" t="s">
        <v>78</v>
      </c>
      <c r="C7" t="s">
        <v>93</v>
      </c>
    </row>
    <row r="8" spans="1:6" x14ac:dyDescent="0.2">
      <c r="A8" t="s">
        <v>144</v>
      </c>
      <c r="B8" t="s">
        <v>79</v>
      </c>
      <c r="C8" t="s">
        <v>94</v>
      </c>
    </row>
    <row r="9" spans="1:6" x14ac:dyDescent="0.2">
      <c r="A9" t="s">
        <v>149</v>
      </c>
      <c r="B9" t="s">
        <v>133</v>
      </c>
      <c r="C9" t="s">
        <v>119</v>
      </c>
    </row>
    <row r="10" spans="1:6" x14ac:dyDescent="0.2">
      <c r="B10" t="s">
        <v>134</v>
      </c>
      <c r="C10" t="s">
        <v>120</v>
      </c>
    </row>
    <row r="11" spans="1:6" x14ac:dyDescent="0.2">
      <c r="C11" t="s">
        <v>114</v>
      </c>
    </row>
    <row r="12" spans="1:6" x14ac:dyDescent="0.2">
      <c r="C12" t="s">
        <v>95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P120"/>
  <sheetViews>
    <sheetView workbookViewId="0"/>
  </sheetViews>
  <sheetFormatPr baseColWidth="10" defaultColWidth="11" defaultRowHeight="16" x14ac:dyDescent="0.2"/>
  <cols>
    <col min="1" max="1" width="18" style="5" bestFit="1" customWidth="1"/>
    <col min="2" max="2" width="21.1640625" style="5" bestFit="1" customWidth="1"/>
    <col min="3" max="3" width="12.1640625" style="5" bestFit="1" customWidth="1"/>
    <col min="4" max="4" width="11.83203125" style="5" bestFit="1" customWidth="1"/>
    <col min="5" max="5" width="11" style="5"/>
    <col min="6" max="6" width="10.33203125" style="5" bestFit="1" customWidth="1"/>
    <col min="7" max="7" width="11" style="5"/>
    <col min="8" max="8" width="10.33203125" style="5" bestFit="1" customWidth="1"/>
    <col min="9" max="9" width="13.83203125" style="5" bestFit="1" customWidth="1"/>
    <col min="10" max="10" width="10.33203125" style="5" bestFit="1" customWidth="1"/>
    <col min="11" max="13" width="11" style="5"/>
    <col min="14" max="14" width="18.6640625" style="5" bestFit="1" customWidth="1"/>
    <col min="15" max="16384" width="11" style="5"/>
  </cols>
  <sheetData>
    <row r="1" spans="1:3" x14ac:dyDescent="0.2">
      <c r="A1" s="5" t="s">
        <v>1</v>
      </c>
    </row>
    <row r="2" spans="1:3" x14ac:dyDescent="0.2">
      <c r="A2" s="5" t="s">
        <v>2</v>
      </c>
      <c r="B2" s="5">
        <v>4</v>
      </c>
    </row>
    <row r="3" spans="1:3" x14ac:dyDescent="0.2">
      <c r="A3" s="5" t="s">
        <v>115</v>
      </c>
      <c r="B3" s="5" t="str">
        <f>IF(ISBLANK('Sample Namen'!M1),"",'Sample Namen'!M1)</f>
        <v/>
      </c>
    </row>
    <row r="4" spans="1:3" x14ac:dyDescent="0.2">
      <c r="A4" s="5" t="s">
        <v>147</v>
      </c>
      <c r="B4" s="5" t="str">
        <f>IF(ISBLANK('Sample Namen'!M2),"",'Sample Namen'!M2)</f>
        <v/>
      </c>
    </row>
    <row r="5" spans="1:3" x14ac:dyDescent="0.2">
      <c r="A5" s="5" t="s">
        <v>3</v>
      </c>
      <c r="B5" s="19" t="str">
        <f>IF(ISBLANK('Sample Namen'!M3),"",'Sample Namen'!M3)</f>
        <v/>
      </c>
      <c r="C5" s="19"/>
    </row>
    <row r="6" spans="1:3" x14ac:dyDescent="0.2">
      <c r="A6" s="5" t="s">
        <v>4</v>
      </c>
      <c r="B6" s="5" t="s">
        <v>5</v>
      </c>
    </row>
    <row r="7" spans="1:3" x14ac:dyDescent="0.2">
      <c r="A7" s="5" t="s">
        <v>6</v>
      </c>
      <c r="B7" s="5" t="s">
        <v>7</v>
      </c>
    </row>
    <row r="8" spans="1:3" x14ac:dyDescent="0.2">
      <c r="A8" s="5" t="s">
        <v>8</v>
      </c>
      <c r="B8" s="5" t="s">
        <v>9</v>
      </c>
    </row>
    <row r="9" spans="1:3" x14ac:dyDescent="0.2">
      <c r="A9" s="5" t="s">
        <v>10</v>
      </c>
      <c r="B9" s="5" t="str">
        <f>IF(ISBLANK('Sample Namen'!M4),"",'Sample Namen'!M4)</f>
        <v/>
      </c>
    </row>
    <row r="10" spans="1:3" x14ac:dyDescent="0.2">
      <c r="A10" s="5" t="s">
        <v>11</v>
      </c>
      <c r="B10" s="5" t="s">
        <v>12</v>
      </c>
    </row>
    <row r="11" spans="1:3" x14ac:dyDescent="0.2">
      <c r="A11" s="5" t="s">
        <v>99</v>
      </c>
      <c r="B11" s="5" t="str">
        <f>IF(ISBLANK('Sample Namen'!M5),"",'Sample Namen'!M5)</f>
        <v/>
      </c>
    </row>
    <row r="12" spans="1:3" x14ac:dyDescent="0.2">
      <c r="A12" s="5" t="s">
        <v>100</v>
      </c>
      <c r="B12" s="5" t="str">
        <f>IF(ISBLANK('Sample Namen'!M6),"",'Sample Namen'!M6)</f>
        <v/>
      </c>
    </row>
    <row r="13" spans="1:3" x14ac:dyDescent="0.2">
      <c r="A13" s="5" t="s">
        <v>101</v>
      </c>
      <c r="B13" s="5" t="str">
        <f>IF(ISBLANK('Sample Namen'!M7),"",'Sample Namen'!M7)</f>
        <v/>
      </c>
    </row>
    <row r="14" spans="1:3" x14ac:dyDescent="0.2">
      <c r="A14" s="5" t="s">
        <v>102</v>
      </c>
      <c r="B14" s="5" t="s">
        <v>103</v>
      </c>
    </row>
    <row r="16" spans="1:3" x14ac:dyDescent="0.2">
      <c r="A16" s="5" t="s">
        <v>13</v>
      </c>
    </row>
    <row r="17" spans="1:16" x14ac:dyDescent="0.2">
      <c r="A17" s="5">
        <v>151</v>
      </c>
    </row>
    <row r="19" spans="1:16" x14ac:dyDescent="0.2">
      <c r="A19" s="5" t="s">
        <v>14</v>
      </c>
    </row>
    <row r="20" spans="1:16" x14ac:dyDescent="0.2">
      <c r="A20" s="5" t="s">
        <v>15</v>
      </c>
      <c r="B20" s="5">
        <v>0</v>
      </c>
    </row>
    <row r="21" spans="1:16" x14ac:dyDescent="0.2">
      <c r="A21" s="5" t="s">
        <v>16</v>
      </c>
      <c r="B21" s="5" t="s">
        <v>17</v>
      </c>
    </row>
    <row r="23" spans="1:16" x14ac:dyDescent="0.2">
      <c r="A23" s="5" t="s">
        <v>18</v>
      </c>
    </row>
    <row r="24" spans="1:16" x14ac:dyDescent="0.2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64</v>
      </c>
      <c r="L24" s="5" t="s">
        <v>66</v>
      </c>
      <c r="M24" s="5" t="s">
        <v>65</v>
      </c>
      <c r="N24" s="5" t="s">
        <v>88</v>
      </c>
      <c r="O24" s="5" t="s">
        <v>104</v>
      </c>
      <c r="P24" s="5" t="s">
        <v>128</v>
      </c>
    </row>
    <row r="25" spans="1:16" x14ac:dyDescent="0.2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IF(ISBLANK('Sample Namen'!R15),"",'Sample Namen'!R15)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IF(ISBLANK('Sample Namen'!R16),"",'Sample Namen'!R16)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IF(ISBLANK('Sample Namen'!R17),"",'Sample Namen'!R17)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IF(ISBLANK('Sample Namen'!R18),"",'Sample Namen'!R18)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IF(ISBLANK('Sample Namen'!R19),"",'Sample Namen'!R19)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IF(ISBLANK('Sample Namen'!R20),"",'Sample Namen'!R20)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IF(ISBLANK('Sample Namen'!R21),"",'Sample Namen'!R21)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IF(ISBLANK('Sample Namen'!R22),"",'Sample Namen'!R22)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IF(ISBLANK('Sample Namen'!R23),"",'Sample Namen'!R23)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IF(ISBLANK('Sample Namen'!R24),"",'Sample Namen'!R24)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IF(ISBLANK('Sample Namen'!R25),"",'Sample Namen'!R25)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IF(ISBLANK('Sample Namen'!R26),"",'Sample Namen'!R26)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IF(ISBLANK('Sample Namen'!R27),"",'Sample Namen'!R27)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IF(ISBLANK('Sample Namen'!R28),"",'Sample Namen'!R28)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IF(ISBLANK('Sample Namen'!R29),"",'Sample Namen'!R29)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IF(ISBLANK('Sample Namen'!R30),"",'Sample Namen'!R30)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IF(ISBLANK('Sample Namen'!R31),"",'Sample Namen'!R31)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IF(ISBLANK('Sample Namen'!R32),"",'Sample Namen'!R32)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IF(ISBLANK('Sample Namen'!R33),"",'Sample Namen'!R33)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IF(ISBLANK('Sample Namen'!R34),"",'Sample Namen'!R34)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IF(ISBLANK('Sample Namen'!R35),"",'Sample Namen'!R35)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IF(ISBLANK('Sample Namen'!R36),"",'Sample Namen'!R36)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IF(ISBLANK('Sample Namen'!R37),"",'Sample Namen'!R37)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IF(ISBLANK('Sample Namen'!R38),"",'Sample Namen'!R38)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IF(ISBLANK('Sample Namen'!R39),"",'Sample Namen'!R39)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IF(ISBLANK('Sample Namen'!R40),"",'Sample Namen'!R40)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IF(ISBLANK('Sample Namen'!R41),"",'Sample Namen'!R41)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IF(ISBLANK('Sample Namen'!R42),"",'Sample Namen'!R42)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IF(ISBLANK('Sample Namen'!R43),"",'Sample Namen'!R43)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IF(ISBLANK('Sample Namen'!R44),"",'Sample Namen'!R44)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IF(ISBLANK('Sample Namen'!R45),"",'Sample Namen'!R45)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IF(ISBLANK('Sample Namen'!R46),"",'Sample Namen'!R46)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IF(ISBLANK('Sample Namen'!R47),"",'Sample Namen'!R47)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IF(ISBLANK('Sample Namen'!R48),"",'Sample Namen'!R48)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IF(ISBLANK('Sample Namen'!R49),"",'Sample Namen'!R49)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IF(ISBLANK('Sample Namen'!R50),"",'Sample Namen'!R50)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IF(ISBLANK('Sample Namen'!R51),"",'Sample Namen'!R51)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IF(ISBLANK('Sample Namen'!R52),"",'Sample Namen'!R52)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IF(ISBLANK('Sample Namen'!R53),"",'Sample Namen'!R53)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IF(ISBLANK('Sample Namen'!R54),"",'Sample Namen'!R54)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IF(ISBLANK('Sample Namen'!R55),"",'Sample Namen'!R55)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IF(ISBLANK('Sample Namen'!R56),"",'Sample Namen'!R56)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IF(ISBLANK('Sample Namen'!R57),"",'Sample Namen'!R57)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IF(ISBLANK('Sample Namen'!R58),"",'Sample Namen'!R58)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IF(ISBLANK('Sample Namen'!R59),"",'Sample Namen'!R59)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IF(ISBLANK('Sample Namen'!R60),"",'Sample Namen'!R60)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IF(ISBLANK('Sample Namen'!R61),"",'Sample Namen'!R61)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IF(ISBLANK('Sample Namen'!R62),"",'Sample Namen'!R62)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IF(ISBLANK('Sample Namen'!R63),"",'Sample Namen'!R63)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IF(ISBLANK('Sample Namen'!R64),"",'Sample Namen'!R64)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IF(ISBLANK('Sample Namen'!R65),"",'Sample Namen'!R65)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IF(ISBLANK('Sample Namen'!R66),"",'Sample Namen'!R66)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IF(ISBLANK('Sample Namen'!R67),"",'Sample Namen'!R67)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IF(ISBLANK('Sample Namen'!R68),"",'Sample Namen'!R68)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IF(ISBLANK('Sample Namen'!R69),"",'Sample Namen'!R69)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IF(ISBLANK('Sample Namen'!R70),"",'Sample Namen'!R70)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IF(ISBLANK('Sample Namen'!R71),"",'Sample Namen'!R71)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IF(ISBLANK('Sample Namen'!R72),"",'Sample Namen'!R72)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IF(ISBLANK('Sample Namen'!R73),"",'Sample Namen'!R73)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IF(ISBLANK('Sample Namen'!R74),"",'Sample Namen'!R74)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IF(ISBLANK('Sample Namen'!R75),"",'Sample Namen'!R75)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IF(ISBLANK('Sample Namen'!R76),"",'Sample Namen'!R76)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IF(ISBLANK('Sample Namen'!R77),"",'Sample Namen'!R77)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IF(ISBLANK('Sample Namen'!R78),"",'Sample Namen'!R78)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IF(ISBLANK('Sample Namen'!R79),"",'Sample Namen'!R79)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IF(ISBLANK('Sample Namen'!R80),"",'Sample Namen'!R80)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IF(ISBLANK('Sample Namen'!R81),"",'Sample Namen'!R81)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IF(ISBLANK('Sample Namen'!R82),"",'Sample Namen'!R82)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IF(ISBLANK('Sample Namen'!R83),"",'Sample Namen'!R83)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IF(ISBLANK('Sample Namen'!R84),"",'Sample Namen'!R84)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IF(ISBLANK('Sample Namen'!R85),"",'Sample Namen'!R85)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IF(ISBLANK('Sample Namen'!R86),"",'Sample Namen'!R86)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IF(ISBLANK('Sample Namen'!R87),"",'Sample Namen'!R87)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IF(ISBLANK('Sample Namen'!R88),"",'Sample Namen'!R88)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IF(ISBLANK('Sample Namen'!R89),"",'Sample Namen'!R89)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IF(ISBLANK('Sample Namen'!R90),"",'Sample Namen'!R90)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IF(ISBLANK('Sample Namen'!R91),"",'Sample Namen'!R91)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IF(ISBLANK('Sample Namen'!R92),"",'Sample Namen'!R92)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IF(ISBLANK('Sample Namen'!R93),"",'Sample Namen'!R93)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IF(ISBLANK('Sample Namen'!R94),"",'Sample Namen'!R94)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IF(ISBLANK('Sample Namen'!R95),"",'Sample Namen'!R95)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IF(ISBLANK('Sample Namen'!R96),"",'Sample Namen'!R96)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IF(ISBLANK('Sample Namen'!R97),"",'Sample Namen'!R97)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IF(ISBLANK('Sample Namen'!R98),"",'Sample Namen'!R98)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IF(ISBLANK('Sample Namen'!R99),"",'Sample Namen'!R99)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IF(ISBLANK('Sample Namen'!R100),"",'Sample Namen'!R100)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IF(ISBLANK('Sample Namen'!R101),"",'Sample Namen'!R101)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IF(ISBLANK('Sample Namen'!R102),"",'Sample Namen'!R102)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IF(ISBLANK('Sample Namen'!R103),"",'Sample Namen'!R103)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IF(ISBLANK('Sample Namen'!R104),"",'Sample Namen'!R104)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IF(ISBLANK('Sample Namen'!R105),"",'Sample Namen'!R105)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IF(ISBLANK('Sample Namen'!R106),"",'Sample Namen'!R106)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IF(ISBLANK('Sample Namen'!R107),"",'Sample Namen'!R107)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IF(ISBLANK('Sample Namen'!R108),"",'Sample Namen'!R108)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IF(ISBLANK('Sample Namen'!R109),"",'Sample Namen'!R109)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IF(ISBLANK('Sample Namen'!R110),"",'Sample Namen'!R110)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 xr:uid="{00000000-0002-0000-0400-000000000000}">
      <formula1>Virus</formula1>
    </dataValidation>
    <dataValidation type="list" allowBlank="1" showDropDown="1" showInputMessage="1" showErrorMessage="1" sqref="B3" xr:uid="{00000000-0002-0000-0400-000001000000}">
      <formula1>Operator</formula1>
    </dataValidation>
    <dataValidation type="date" operator="greaterThan" allowBlank="1" showInputMessage="1" showErrorMessage="1" sqref="B5" xr:uid="{00000000-0002-0000-0400-000002000000}">
      <formula1>42736</formula1>
    </dataValidation>
    <dataValidation type="whole" allowBlank="1" showInputMessage="1" showErrorMessage="1" sqref="B11" xr:uid="{00000000-0002-0000-0400-000003000000}">
      <formula1>0</formula1>
      <formula2>100</formula2>
    </dataValidation>
    <dataValidation type="custom" allowBlank="1" showInputMessage="1" showErrorMessage="1" sqref="B12:B13" xr:uid="{00000000-0002-0000-0400-000004000000}">
      <formula1>EXACT(LEFT(B12,3),"RGT")</formula1>
    </dataValidation>
    <dataValidation type="whole" allowBlank="1" showInputMessage="1" showErrorMessage="1" sqref="A25:A120" xr:uid="{00000000-0002-0000-0400-000005000000}">
      <formula1>1</formula1>
      <formula2>96</formula2>
    </dataValidation>
    <dataValidation type="list" allowBlank="1" showDropDown="1" showInputMessage="1" showErrorMessage="1" sqref="E25:E120" xr:uid="{00000000-0002-0000-0400-000006000000}">
      <formula1>I7_Index_ID</formula1>
    </dataValidation>
    <dataValidation type="list" allowBlank="1" showDropDown="1" showInputMessage="1" showErrorMessage="1" sqref="F25:F120" xr:uid="{00000000-0002-0000-0400-000007000000}">
      <formula1>I7_Index</formula1>
    </dataValidation>
    <dataValidation type="list" allowBlank="1" showDropDown="1" showInputMessage="1" showErrorMessage="1" sqref="G25:G120" xr:uid="{00000000-0002-0000-0400-000008000000}">
      <formula1>I5_Index_ID</formula1>
    </dataValidation>
    <dataValidation type="list" allowBlank="1" showDropDown="1" showInputMessage="1" showErrorMessage="1" sqref="H25:H120" xr:uid="{00000000-0002-0000-0400-000009000000}">
      <formula1>I5_Index</formula1>
    </dataValidation>
    <dataValidation type="list" allowBlank="1" showDropDown="1" showInputMessage="1" showErrorMessage="1" sqref="L25:L120" xr:uid="{00000000-0002-0000-0400-00000A000000}">
      <formula1>Genotyp</formula1>
    </dataValidation>
    <dataValidation type="list" allowBlank="1" showDropDown="1" showInputMessage="1" showErrorMessage="1" sqref="M25:M120" xr:uid="{00000000-0002-0000-0400-00000B000000}">
      <formula1>Target</formula1>
    </dataValidation>
    <dataValidation type="custom" allowBlank="1" showInputMessage="1" showErrorMessage="1" sqref="O25:O120" xr:uid="{00000000-0002-0000-0400-00000C000000}">
      <formula1>OR(EXACT(O25:O120,"n"),EXACT(O25:O120,"y"))</formula1>
    </dataValidation>
    <dataValidation type="whole" operator="greaterThan" allowBlank="1" showInputMessage="1" showErrorMessage="1" sqref="N25:N120" xr:uid="{00000000-0002-0000-0400-00000D000000}">
      <formula1>0</formula1>
    </dataValidation>
    <dataValidation type="custom" allowBlank="1" showInputMessage="1" showErrorMessage="1" sqref="B25:B120" xr:uid="{00000000-0002-0000-0400-00000E000000}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 xr:uid="{00000000-0002-0000-0400-00000F000000}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Stefan Schmutz</cp:lastModifiedBy>
  <dcterms:created xsi:type="dcterms:W3CDTF">2017-02-13T11:04:29Z</dcterms:created>
  <dcterms:modified xsi:type="dcterms:W3CDTF">2022-06-21T08:00:30Z</dcterms:modified>
</cp:coreProperties>
</file>