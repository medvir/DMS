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Plate layout" sheetId="6" r:id="rId5"/>
    <sheet name="MiSeq SampleSheet" sheetId="2" r:id="rId6"/>
  </sheets>
  <definedNames>
    <definedName name="_xlnm._FilterDatabase" localSheetId="2" hidden="1">'indices order'!$A$1:$F$1</definedName>
    <definedName name="column">'Virus and Target infos'!$H$2:$H$13</definedName>
    <definedName name="column_order">'indices order'!$G$2:$G$97</definedName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indices_used">'Sample Namen'!$H$15:$H$110</definedName>
    <definedName name="JaNein">'Virus and Target infos'!$E$2:$E$3</definedName>
    <definedName name="nr.index">'Plate layout'!#REF!</definedName>
    <definedName name="Operator">'Virus and Target infos'!$D$2:$D$5</definedName>
    <definedName name="row">'Virus and Target infos'!$G$2:$G$9</definedName>
    <definedName name="row_order">'indices order'!$F$2:$F$97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</workbook>
</file>

<file path=xl/calcChain.xml><?xml version="1.0" encoding="utf-8"?>
<calcChain xmlns="http://schemas.openxmlformats.org/spreadsheetml/2006/main">
  <c r="J11" i="1" l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H11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C12" i="6"/>
  <c r="D12" i="6"/>
  <c r="E12" i="6"/>
  <c r="F12" i="6"/>
  <c r="G12" i="6"/>
  <c r="H12" i="6"/>
  <c r="I12" i="6"/>
  <c r="J12" i="6"/>
  <c r="K12" i="6"/>
  <c r="L12" i="6"/>
  <c r="M12" i="6"/>
  <c r="C13" i="6"/>
  <c r="D13" i="6"/>
  <c r="E13" i="6"/>
  <c r="F13" i="6"/>
  <c r="G13" i="6"/>
  <c r="H13" i="6"/>
  <c r="I13" i="6"/>
  <c r="J13" i="6"/>
  <c r="K13" i="6"/>
  <c r="L13" i="6"/>
  <c r="M13" i="6"/>
  <c r="C14" i="6"/>
  <c r="D14" i="6"/>
  <c r="E14" i="6"/>
  <c r="F14" i="6"/>
  <c r="G14" i="6"/>
  <c r="H14" i="6"/>
  <c r="I14" i="6"/>
  <c r="J14" i="6"/>
  <c r="K14" i="6"/>
  <c r="L14" i="6"/>
  <c r="M14" i="6"/>
  <c r="C15" i="6"/>
  <c r="D15" i="6"/>
  <c r="E15" i="6"/>
  <c r="F15" i="6"/>
  <c r="G15" i="6"/>
  <c r="H15" i="6"/>
  <c r="I15" i="6"/>
  <c r="J15" i="6"/>
  <c r="K15" i="6"/>
  <c r="L15" i="6"/>
  <c r="M15" i="6"/>
  <c r="C16" i="6"/>
  <c r="D16" i="6"/>
  <c r="E16" i="6"/>
  <c r="F16" i="6"/>
  <c r="G16" i="6"/>
  <c r="H16" i="6"/>
  <c r="I16" i="6"/>
  <c r="J16" i="6"/>
  <c r="K16" i="6"/>
  <c r="L16" i="6"/>
  <c r="M16" i="6"/>
  <c r="C17" i="6"/>
  <c r="D17" i="6"/>
  <c r="E17" i="6"/>
  <c r="F17" i="6"/>
  <c r="G17" i="6"/>
  <c r="H17" i="6"/>
  <c r="I17" i="6"/>
  <c r="J17" i="6"/>
  <c r="K17" i="6"/>
  <c r="L17" i="6"/>
  <c r="M17" i="6"/>
  <c r="C18" i="6"/>
  <c r="D18" i="6"/>
  <c r="E18" i="6"/>
  <c r="F18" i="6"/>
  <c r="G18" i="6"/>
  <c r="H18" i="6"/>
  <c r="I18" i="6"/>
  <c r="J18" i="6"/>
  <c r="K18" i="6"/>
  <c r="L18" i="6"/>
  <c r="M18" i="6"/>
  <c r="C19" i="6"/>
  <c r="D19" i="6"/>
  <c r="E19" i="6"/>
  <c r="F19" i="6"/>
  <c r="G19" i="6"/>
  <c r="H19" i="6"/>
  <c r="I19" i="6"/>
  <c r="J19" i="6"/>
  <c r="K19" i="6"/>
  <c r="L19" i="6"/>
  <c r="M19" i="6"/>
  <c r="B18" i="6"/>
  <c r="B19" i="6"/>
  <c r="B12" i="6"/>
  <c r="B13" i="6"/>
  <c r="B14" i="6"/>
  <c r="B15" i="6"/>
  <c r="B16" i="6"/>
  <c r="B17" i="6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J16" i="1"/>
  <c r="N16" i="1"/>
  <c r="G26" i="2"/>
  <c r="J17" i="1"/>
  <c r="N17" i="1"/>
  <c r="G27" i="2"/>
  <c r="J18" i="1"/>
  <c r="N18" i="1"/>
  <c r="G28" i="2"/>
  <c r="J19" i="1"/>
  <c r="N19" i="1"/>
  <c r="G29" i="2"/>
  <c r="J20" i="1"/>
  <c r="N20" i="1"/>
  <c r="G30" i="2"/>
  <c r="J21" i="1"/>
  <c r="N21" i="1"/>
  <c r="G31" i="2"/>
  <c r="J22" i="1"/>
  <c r="N22" i="1"/>
  <c r="G32" i="2"/>
  <c r="J23" i="1"/>
  <c r="N23" i="1"/>
  <c r="G33" i="2"/>
  <c r="J24" i="1"/>
  <c r="N24" i="1"/>
  <c r="G34" i="2"/>
  <c r="J25" i="1"/>
  <c r="N25" i="1"/>
  <c r="G35" i="2"/>
  <c r="J26" i="1"/>
  <c r="N26" i="1"/>
  <c r="G36" i="2"/>
  <c r="J27" i="1"/>
  <c r="N27" i="1"/>
  <c r="G37" i="2"/>
  <c r="J28" i="1"/>
  <c r="N28" i="1"/>
  <c r="G38" i="2"/>
  <c r="J29" i="1"/>
  <c r="N29" i="1"/>
  <c r="G39" i="2"/>
  <c r="J30" i="1"/>
  <c r="N30" i="1"/>
  <c r="G40" i="2"/>
  <c r="J31" i="1"/>
  <c r="N31" i="1"/>
  <c r="G41" i="2"/>
  <c r="J32" i="1"/>
  <c r="N32" i="1"/>
  <c r="G42" i="2"/>
  <c r="J33" i="1"/>
  <c r="N33" i="1"/>
  <c r="G43" i="2"/>
  <c r="J34" i="1"/>
  <c r="N34" i="1"/>
  <c r="G44" i="2"/>
  <c r="J35" i="1"/>
  <c r="N35" i="1"/>
  <c r="G45" i="2"/>
  <c r="J36" i="1"/>
  <c r="N36" i="1"/>
  <c r="G46" i="2"/>
  <c r="J37" i="1"/>
  <c r="N37" i="1"/>
  <c r="G47" i="2"/>
  <c r="J38" i="1"/>
  <c r="N38" i="1"/>
  <c r="G48" i="2"/>
  <c r="J39" i="1"/>
  <c r="N39" i="1"/>
  <c r="G49" i="2"/>
  <c r="J40" i="1"/>
  <c r="N40" i="1"/>
  <c r="G50" i="2"/>
  <c r="J41" i="1"/>
  <c r="N41" i="1"/>
  <c r="G51" i="2"/>
  <c r="J42" i="1"/>
  <c r="N42" i="1"/>
  <c r="G52" i="2"/>
  <c r="J43" i="1"/>
  <c r="N43" i="1"/>
  <c r="G53" i="2"/>
  <c r="J44" i="1"/>
  <c r="N44" i="1"/>
  <c r="G54" i="2"/>
  <c r="J45" i="1"/>
  <c r="N45" i="1"/>
  <c r="G55" i="2"/>
  <c r="J46" i="1"/>
  <c r="N46" i="1"/>
  <c r="G56" i="2"/>
  <c r="J47" i="1"/>
  <c r="N47" i="1"/>
  <c r="G57" i="2"/>
  <c r="J48" i="1"/>
  <c r="N48" i="1"/>
  <c r="G58" i="2"/>
  <c r="J49" i="1"/>
  <c r="N49" i="1"/>
  <c r="G59" i="2"/>
  <c r="J50" i="1"/>
  <c r="N50" i="1"/>
  <c r="G60" i="2"/>
  <c r="J51" i="1"/>
  <c r="N51" i="1"/>
  <c r="G61" i="2"/>
  <c r="J52" i="1"/>
  <c r="N52" i="1"/>
  <c r="G62" i="2"/>
  <c r="J53" i="1"/>
  <c r="N53" i="1"/>
  <c r="G63" i="2"/>
  <c r="J54" i="1"/>
  <c r="N54" i="1"/>
  <c r="G64" i="2"/>
  <c r="J55" i="1"/>
  <c r="N55" i="1"/>
  <c r="G65" i="2"/>
  <c r="J56" i="1"/>
  <c r="N56" i="1"/>
  <c r="G66" i="2"/>
  <c r="J57" i="1"/>
  <c r="N57" i="1"/>
  <c r="G67" i="2"/>
  <c r="J58" i="1"/>
  <c r="N58" i="1"/>
  <c r="G68" i="2"/>
  <c r="J59" i="1"/>
  <c r="N59" i="1"/>
  <c r="G69" i="2"/>
  <c r="J60" i="1"/>
  <c r="N60" i="1"/>
  <c r="G70" i="2"/>
  <c r="J61" i="1"/>
  <c r="N61" i="1"/>
  <c r="G71" i="2"/>
  <c r="J62" i="1"/>
  <c r="N62" i="1"/>
  <c r="G72" i="2"/>
  <c r="J63" i="1"/>
  <c r="N63" i="1"/>
  <c r="G73" i="2"/>
  <c r="J64" i="1"/>
  <c r="N64" i="1"/>
  <c r="G74" i="2"/>
  <c r="J65" i="1"/>
  <c r="N65" i="1"/>
  <c r="G75" i="2"/>
  <c r="J66" i="1"/>
  <c r="N66" i="1"/>
  <c r="G76" i="2"/>
  <c r="J67" i="1"/>
  <c r="N67" i="1"/>
  <c r="G77" i="2"/>
  <c r="J68" i="1"/>
  <c r="N68" i="1"/>
  <c r="G78" i="2"/>
  <c r="J69" i="1"/>
  <c r="N69" i="1"/>
  <c r="G79" i="2"/>
  <c r="J70" i="1"/>
  <c r="N70" i="1"/>
  <c r="G80" i="2"/>
  <c r="J71" i="1"/>
  <c r="N71" i="1"/>
  <c r="G81" i="2"/>
  <c r="J72" i="1"/>
  <c r="N72" i="1"/>
  <c r="G82" i="2"/>
  <c r="J73" i="1"/>
  <c r="N73" i="1"/>
  <c r="G83" i="2"/>
  <c r="J74" i="1"/>
  <c r="N74" i="1"/>
  <c r="G84" i="2"/>
  <c r="J75" i="1"/>
  <c r="N75" i="1"/>
  <c r="G85" i="2"/>
  <c r="J76" i="1"/>
  <c r="N76" i="1"/>
  <c r="G86" i="2"/>
  <c r="J77" i="1"/>
  <c r="N77" i="1"/>
  <c r="G87" i="2"/>
  <c r="J78" i="1"/>
  <c r="N78" i="1"/>
  <c r="G88" i="2"/>
  <c r="J79" i="1"/>
  <c r="N79" i="1"/>
  <c r="G89" i="2"/>
  <c r="J80" i="1"/>
  <c r="N80" i="1"/>
  <c r="G90" i="2"/>
  <c r="J81" i="1"/>
  <c r="N81" i="1"/>
  <c r="G91" i="2"/>
  <c r="J82" i="1"/>
  <c r="N82" i="1"/>
  <c r="G92" i="2"/>
  <c r="J83" i="1"/>
  <c r="N83" i="1"/>
  <c r="G93" i="2"/>
  <c r="J84" i="1"/>
  <c r="N84" i="1"/>
  <c r="G94" i="2"/>
  <c r="J85" i="1"/>
  <c r="N85" i="1"/>
  <c r="G95" i="2"/>
  <c r="J86" i="1"/>
  <c r="N86" i="1"/>
  <c r="G96" i="2"/>
  <c r="J87" i="1"/>
  <c r="N87" i="1"/>
  <c r="G97" i="2"/>
  <c r="J88" i="1"/>
  <c r="N88" i="1"/>
  <c r="G98" i="2"/>
  <c r="J89" i="1"/>
  <c r="N89" i="1"/>
  <c r="G99" i="2"/>
  <c r="J90" i="1"/>
  <c r="N90" i="1"/>
  <c r="G100" i="2"/>
  <c r="J91" i="1"/>
  <c r="N91" i="1"/>
  <c r="G101" i="2"/>
  <c r="J92" i="1"/>
  <c r="N92" i="1"/>
  <c r="G102" i="2"/>
  <c r="J93" i="1"/>
  <c r="N93" i="1"/>
  <c r="G103" i="2"/>
  <c r="J94" i="1"/>
  <c r="N94" i="1"/>
  <c r="G104" i="2"/>
  <c r="J95" i="1"/>
  <c r="N95" i="1"/>
  <c r="G105" i="2"/>
  <c r="J96" i="1"/>
  <c r="N96" i="1"/>
  <c r="G106" i="2"/>
  <c r="J97" i="1"/>
  <c r="N97" i="1"/>
  <c r="G107" i="2"/>
  <c r="J98" i="1"/>
  <c r="N98" i="1"/>
  <c r="G108" i="2"/>
  <c r="J99" i="1"/>
  <c r="N99" i="1"/>
  <c r="G109" i="2"/>
  <c r="J100" i="1"/>
  <c r="N100" i="1"/>
  <c r="G110" i="2"/>
  <c r="J101" i="1"/>
  <c r="N101" i="1"/>
  <c r="G111" i="2"/>
  <c r="J102" i="1"/>
  <c r="N102" i="1"/>
  <c r="G112" i="2"/>
  <c r="J103" i="1"/>
  <c r="N103" i="1"/>
  <c r="G113" i="2"/>
  <c r="J104" i="1"/>
  <c r="N104" i="1"/>
  <c r="G114" i="2"/>
  <c r="J105" i="1"/>
  <c r="N105" i="1"/>
  <c r="G115" i="2"/>
  <c r="J106" i="1"/>
  <c r="N106" i="1"/>
  <c r="G116" i="2"/>
  <c r="J107" i="1"/>
  <c r="N107" i="1"/>
  <c r="G117" i="2"/>
  <c r="J108" i="1"/>
  <c r="N108" i="1"/>
  <c r="G118" i="2"/>
  <c r="J109" i="1"/>
  <c r="N109" i="1"/>
  <c r="G119" i="2"/>
  <c r="J110" i="1"/>
  <c r="N110" i="1"/>
  <c r="G120" i="2"/>
  <c r="J15" i="1"/>
  <c r="N15" i="1"/>
  <c r="G25" i="2"/>
  <c r="I16" i="1"/>
  <c r="K16" i="1"/>
  <c r="E26" i="2"/>
  <c r="I17" i="1"/>
  <c r="K17" i="1"/>
  <c r="E27" i="2"/>
  <c r="I18" i="1"/>
  <c r="K18" i="1"/>
  <c r="E28" i="2"/>
  <c r="I19" i="1"/>
  <c r="K19" i="1"/>
  <c r="E29" i="2"/>
  <c r="I20" i="1"/>
  <c r="K20" i="1"/>
  <c r="E30" i="2"/>
  <c r="I21" i="1"/>
  <c r="K21" i="1"/>
  <c r="E31" i="2"/>
  <c r="I22" i="1"/>
  <c r="K22" i="1"/>
  <c r="E32" i="2"/>
  <c r="I23" i="1"/>
  <c r="K23" i="1"/>
  <c r="E33" i="2"/>
  <c r="I24" i="1"/>
  <c r="K24" i="1"/>
  <c r="E34" i="2"/>
  <c r="I25" i="1"/>
  <c r="K25" i="1"/>
  <c r="E35" i="2"/>
  <c r="I26" i="1"/>
  <c r="K26" i="1"/>
  <c r="E36" i="2"/>
  <c r="I27" i="1"/>
  <c r="K27" i="1"/>
  <c r="E37" i="2"/>
  <c r="I28" i="1"/>
  <c r="K28" i="1"/>
  <c r="E38" i="2"/>
  <c r="I29" i="1"/>
  <c r="K29" i="1"/>
  <c r="E39" i="2"/>
  <c r="I30" i="1"/>
  <c r="K30" i="1"/>
  <c r="E40" i="2"/>
  <c r="I31" i="1"/>
  <c r="K31" i="1"/>
  <c r="E41" i="2"/>
  <c r="I32" i="1"/>
  <c r="K32" i="1"/>
  <c r="E42" i="2"/>
  <c r="I33" i="1"/>
  <c r="K33" i="1"/>
  <c r="E43" i="2"/>
  <c r="I34" i="1"/>
  <c r="K34" i="1"/>
  <c r="E44" i="2"/>
  <c r="I35" i="1"/>
  <c r="K35" i="1"/>
  <c r="E45" i="2"/>
  <c r="I36" i="1"/>
  <c r="K36" i="1"/>
  <c r="E46" i="2"/>
  <c r="I37" i="1"/>
  <c r="K37" i="1"/>
  <c r="E47" i="2"/>
  <c r="I38" i="1"/>
  <c r="K38" i="1"/>
  <c r="E48" i="2"/>
  <c r="I39" i="1"/>
  <c r="K39" i="1"/>
  <c r="E49" i="2"/>
  <c r="I40" i="1"/>
  <c r="K40" i="1"/>
  <c r="E50" i="2"/>
  <c r="I41" i="1"/>
  <c r="K41" i="1"/>
  <c r="E51" i="2"/>
  <c r="I42" i="1"/>
  <c r="K42" i="1"/>
  <c r="E52" i="2"/>
  <c r="I43" i="1"/>
  <c r="K43" i="1"/>
  <c r="E53" i="2"/>
  <c r="I44" i="1"/>
  <c r="K44" i="1"/>
  <c r="E54" i="2"/>
  <c r="I45" i="1"/>
  <c r="K45" i="1"/>
  <c r="E55" i="2"/>
  <c r="I46" i="1"/>
  <c r="K46" i="1"/>
  <c r="E56" i="2"/>
  <c r="I47" i="1"/>
  <c r="K47" i="1"/>
  <c r="E57" i="2"/>
  <c r="I48" i="1"/>
  <c r="K48" i="1"/>
  <c r="E58" i="2"/>
  <c r="I49" i="1"/>
  <c r="K49" i="1"/>
  <c r="E59" i="2"/>
  <c r="I50" i="1"/>
  <c r="K50" i="1"/>
  <c r="E60" i="2"/>
  <c r="I51" i="1"/>
  <c r="K51" i="1"/>
  <c r="E61" i="2"/>
  <c r="I52" i="1"/>
  <c r="K52" i="1"/>
  <c r="E62" i="2"/>
  <c r="I53" i="1"/>
  <c r="K53" i="1"/>
  <c r="E63" i="2"/>
  <c r="I54" i="1"/>
  <c r="K54" i="1"/>
  <c r="E64" i="2"/>
  <c r="I55" i="1"/>
  <c r="K55" i="1"/>
  <c r="E65" i="2"/>
  <c r="I56" i="1"/>
  <c r="K56" i="1"/>
  <c r="E66" i="2"/>
  <c r="I57" i="1"/>
  <c r="K57" i="1"/>
  <c r="E67" i="2"/>
  <c r="I58" i="1"/>
  <c r="K58" i="1"/>
  <c r="E68" i="2"/>
  <c r="I59" i="1"/>
  <c r="K59" i="1"/>
  <c r="E69" i="2"/>
  <c r="I60" i="1"/>
  <c r="K60" i="1"/>
  <c r="E70" i="2"/>
  <c r="I61" i="1"/>
  <c r="K61" i="1"/>
  <c r="E71" i="2"/>
  <c r="I62" i="1"/>
  <c r="K62" i="1"/>
  <c r="E72" i="2"/>
  <c r="I63" i="1"/>
  <c r="K63" i="1"/>
  <c r="E73" i="2"/>
  <c r="I64" i="1"/>
  <c r="K64" i="1"/>
  <c r="E74" i="2"/>
  <c r="I65" i="1"/>
  <c r="K65" i="1"/>
  <c r="E75" i="2"/>
  <c r="I66" i="1"/>
  <c r="K66" i="1"/>
  <c r="E76" i="2"/>
  <c r="I67" i="1"/>
  <c r="K67" i="1"/>
  <c r="E77" i="2"/>
  <c r="I68" i="1"/>
  <c r="K68" i="1"/>
  <c r="E78" i="2"/>
  <c r="I69" i="1"/>
  <c r="K69" i="1"/>
  <c r="E79" i="2"/>
  <c r="I70" i="1"/>
  <c r="K70" i="1"/>
  <c r="E80" i="2"/>
  <c r="I71" i="1"/>
  <c r="K71" i="1"/>
  <c r="E81" i="2"/>
  <c r="I72" i="1"/>
  <c r="K72" i="1"/>
  <c r="E82" i="2"/>
  <c r="I73" i="1"/>
  <c r="K73" i="1"/>
  <c r="E83" i="2"/>
  <c r="I74" i="1"/>
  <c r="K74" i="1"/>
  <c r="E84" i="2"/>
  <c r="I75" i="1"/>
  <c r="K75" i="1"/>
  <c r="E85" i="2"/>
  <c r="I76" i="1"/>
  <c r="K76" i="1"/>
  <c r="E86" i="2"/>
  <c r="I77" i="1"/>
  <c r="K77" i="1"/>
  <c r="E87" i="2"/>
  <c r="I78" i="1"/>
  <c r="K78" i="1"/>
  <c r="E88" i="2"/>
  <c r="I79" i="1"/>
  <c r="K79" i="1"/>
  <c r="E89" i="2"/>
  <c r="I80" i="1"/>
  <c r="K80" i="1"/>
  <c r="E90" i="2"/>
  <c r="I81" i="1"/>
  <c r="K81" i="1"/>
  <c r="E91" i="2"/>
  <c r="I82" i="1"/>
  <c r="K82" i="1"/>
  <c r="E92" i="2"/>
  <c r="I83" i="1"/>
  <c r="K83" i="1"/>
  <c r="E93" i="2"/>
  <c r="I84" i="1"/>
  <c r="K84" i="1"/>
  <c r="E94" i="2"/>
  <c r="I85" i="1"/>
  <c r="K85" i="1"/>
  <c r="E95" i="2"/>
  <c r="I86" i="1"/>
  <c r="K86" i="1"/>
  <c r="E96" i="2"/>
  <c r="I87" i="1"/>
  <c r="K87" i="1"/>
  <c r="E97" i="2"/>
  <c r="I88" i="1"/>
  <c r="K88" i="1"/>
  <c r="E98" i="2"/>
  <c r="I89" i="1"/>
  <c r="K89" i="1"/>
  <c r="E99" i="2"/>
  <c r="I90" i="1"/>
  <c r="K90" i="1"/>
  <c r="E100" i="2"/>
  <c r="I91" i="1"/>
  <c r="K91" i="1"/>
  <c r="E101" i="2"/>
  <c r="I92" i="1"/>
  <c r="K92" i="1"/>
  <c r="E102" i="2"/>
  <c r="I93" i="1"/>
  <c r="K93" i="1"/>
  <c r="E103" i="2"/>
  <c r="I94" i="1"/>
  <c r="K94" i="1"/>
  <c r="E104" i="2"/>
  <c r="I95" i="1"/>
  <c r="K95" i="1"/>
  <c r="E105" i="2"/>
  <c r="I96" i="1"/>
  <c r="K96" i="1"/>
  <c r="E106" i="2"/>
  <c r="I97" i="1"/>
  <c r="K97" i="1"/>
  <c r="E107" i="2"/>
  <c r="I98" i="1"/>
  <c r="K98" i="1"/>
  <c r="E108" i="2"/>
  <c r="I99" i="1"/>
  <c r="K99" i="1"/>
  <c r="E109" i="2"/>
  <c r="I100" i="1"/>
  <c r="K100" i="1"/>
  <c r="E110" i="2"/>
  <c r="I101" i="1"/>
  <c r="K101" i="1"/>
  <c r="E111" i="2"/>
  <c r="I102" i="1"/>
  <c r="K102" i="1"/>
  <c r="E112" i="2"/>
  <c r="I103" i="1"/>
  <c r="K103" i="1"/>
  <c r="E113" i="2"/>
  <c r="I104" i="1"/>
  <c r="K104" i="1"/>
  <c r="E114" i="2"/>
  <c r="I105" i="1"/>
  <c r="K105" i="1"/>
  <c r="E115" i="2"/>
  <c r="I106" i="1"/>
  <c r="K106" i="1"/>
  <c r="E116" i="2"/>
  <c r="I107" i="1"/>
  <c r="K107" i="1"/>
  <c r="E117" i="2"/>
  <c r="I108" i="1"/>
  <c r="K108" i="1"/>
  <c r="E118" i="2"/>
  <c r="I109" i="1"/>
  <c r="K109" i="1"/>
  <c r="E119" i="2"/>
  <c r="I110" i="1"/>
  <c r="K110" i="1"/>
  <c r="E120" i="2"/>
  <c r="I15" i="1"/>
  <c r="K15" i="1"/>
  <c r="E25" i="2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5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2" i="5"/>
  <c r="I26" i="2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I111" i="2"/>
  <c r="O111" i="2"/>
  <c r="I112" i="2"/>
  <c r="O112" i="2"/>
  <c r="I113" i="2"/>
  <c r="O113" i="2"/>
  <c r="I114" i="2"/>
  <c r="O114" i="2"/>
  <c r="I115" i="2"/>
  <c r="O115" i="2"/>
  <c r="I116" i="2"/>
  <c r="O116" i="2"/>
  <c r="I117" i="2"/>
  <c r="O117" i="2"/>
  <c r="I118" i="2"/>
  <c r="O118" i="2"/>
  <c r="I119" i="2"/>
  <c r="O119" i="2"/>
  <c r="I120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B11" i="2"/>
  <c r="B13" i="2"/>
  <c r="B12" i="2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F27" i="2"/>
  <c r="H27" i="2"/>
  <c r="F28" i="2"/>
  <c r="H28" i="2"/>
  <c r="F29" i="2"/>
  <c r="H29" i="2"/>
  <c r="F30" i="2"/>
  <c r="H30" i="2"/>
  <c r="F31" i="2"/>
  <c r="H31" i="2"/>
  <c r="F32" i="2"/>
  <c r="H32" i="2"/>
  <c r="F33" i="2"/>
  <c r="H33" i="2"/>
  <c r="F34" i="2"/>
  <c r="H34" i="2"/>
  <c r="F35" i="2"/>
  <c r="H35" i="2"/>
  <c r="F36" i="2"/>
  <c r="H36" i="2"/>
  <c r="F37" i="2"/>
  <c r="H37" i="2"/>
  <c r="F38" i="2"/>
  <c r="H38" i="2"/>
  <c r="F39" i="2"/>
  <c r="H39" i="2"/>
  <c r="F40" i="2"/>
  <c r="H40" i="2"/>
  <c r="F41" i="2"/>
  <c r="H41" i="2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F55" i="2"/>
  <c r="H55" i="2"/>
  <c r="F56" i="2"/>
  <c r="H56" i="2"/>
  <c r="F57" i="2"/>
  <c r="H57" i="2"/>
  <c r="F58" i="2"/>
  <c r="H58" i="2"/>
  <c r="F59" i="2"/>
  <c r="H59" i="2"/>
  <c r="F60" i="2"/>
  <c r="H60" i="2"/>
  <c r="F61" i="2"/>
  <c r="H61" i="2"/>
  <c r="F62" i="2"/>
  <c r="H62" i="2"/>
  <c r="F63" i="2"/>
  <c r="H63" i="2"/>
  <c r="F64" i="2"/>
  <c r="H64" i="2"/>
  <c r="F65" i="2"/>
  <c r="H65" i="2"/>
  <c r="F66" i="2"/>
  <c r="H66" i="2"/>
  <c r="F67" i="2"/>
  <c r="H67" i="2"/>
  <c r="F68" i="2"/>
  <c r="H68" i="2"/>
  <c r="F69" i="2"/>
  <c r="H69" i="2"/>
  <c r="F70" i="2"/>
  <c r="H70" i="2"/>
  <c r="F71" i="2"/>
  <c r="H71" i="2"/>
  <c r="F72" i="2"/>
  <c r="H72" i="2"/>
  <c r="F73" i="2"/>
  <c r="H73" i="2"/>
  <c r="F74" i="2"/>
  <c r="H74" i="2"/>
  <c r="F75" i="2"/>
  <c r="H75" i="2"/>
  <c r="F76" i="2"/>
  <c r="H76" i="2"/>
  <c r="F77" i="2"/>
  <c r="H77" i="2"/>
  <c r="F78" i="2"/>
  <c r="H78" i="2"/>
  <c r="F79" i="2"/>
  <c r="H79" i="2"/>
  <c r="F80" i="2"/>
  <c r="H80" i="2"/>
  <c r="F81" i="2"/>
  <c r="H81" i="2"/>
  <c r="F82" i="2"/>
  <c r="H82" i="2"/>
  <c r="F83" i="2"/>
  <c r="H83" i="2"/>
  <c r="F84" i="2"/>
  <c r="H84" i="2"/>
  <c r="F85" i="2"/>
  <c r="H85" i="2"/>
  <c r="F86" i="2"/>
  <c r="H86" i="2"/>
  <c r="F87" i="2"/>
  <c r="H87" i="2"/>
  <c r="F88" i="2"/>
  <c r="H88" i="2"/>
  <c r="F89" i="2"/>
  <c r="H89" i="2"/>
  <c r="F90" i="2"/>
  <c r="H90" i="2"/>
  <c r="F91" i="2"/>
  <c r="H91" i="2"/>
  <c r="F92" i="2"/>
  <c r="H92" i="2"/>
  <c r="F93" i="2"/>
  <c r="H93" i="2"/>
  <c r="F94" i="2"/>
  <c r="H94" i="2"/>
  <c r="F95" i="2"/>
  <c r="H95" i="2"/>
  <c r="F96" i="2"/>
  <c r="H96" i="2"/>
  <c r="F97" i="2"/>
  <c r="H97" i="2"/>
  <c r="F98" i="2"/>
  <c r="H98" i="2"/>
  <c r="F99" i="2"/>
  <c r="H99" i="2"/>
  <c r="F100" i="2"/>
  <c r="H100" i="2"/>
  <c r="F101" i="2"/>
  <c r="H101" i="2"/>
  <c r="F102" i="2"/>
  <c r="H102" i="2"/>
  <c r="F103" i="2"/>
  <c r="H103" i="2"/>
  <c r="F104" i="2"/>
  <c r="H104" i="2"/>
  <c r="F105" i="2"/>
  <c r="H105" i="2"/>
  <c r="F106" i="2"/>
  <c r="H106" i="2"/>
  <c r="F107" i="2"/>
  <c r="H107" i="2"/>
  <c r="F108" i="2"/>
  <c r="H108" i="2"/>
  <c r="F109" i="2"/>
  <c r="H109" i="2"/>
  <c r="F110" i="2"/>
  <c r="H110" i="2"/>
  <c r="F111" i="2"/>
  <c r="H111" i="2"/>
  <c r="F112" i="2"/>
  <c r="H112" i="2"/>
  <c r="F113" i="2"/>
  <c r="H113" i="2"/>
  <c r="F114" i="2"/>
  <c r="H114" i="2"/>
  <c r="F115" i="2"/>
  <c r="H115" i="2"/>
  <c r="F116" i="2"/>
  <c r="H116" i="2"/>
  <c r="F117" i="2"/>
  <c r="H117" i="2"/>
  <c r="F118" i="2"/>
  <c r="H118" i="2"/>
  <c r="F119" i="2"/>
  <c r="H119" i="2"/>
  <c r="F120" i="2"/>
  <c r="H120" i="2"/>
  <c r="H25" i="2"/>
  <c r="F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H26" i="2"/>
  <c r="F26" i="2"/>
</calcChain>
</file>

<file path=xl/sharedStrings.xml><?xml version="1.0" encoding="utf-8"?>
<sst xmlns="http://schemas.openxmlformats.org/spreadsheetml/2006/main" count="286" uniqueCount="157">
  <si>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</si>
  <si>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</si>
  <si>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</si>
  <si>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</si>
  <si>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</si>
  <si>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</si>
  <si>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</si>
  <si>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</si>
  <si>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</si>
  <si>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</si>
  <si>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</si>
  <si>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</si>
  <si>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</si>
  <si>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</si>
  <si>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</si>
  <si>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</si>
  <si>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</si>
  <si>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</si>
  <si>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</si>
  <si>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</si>
  <si>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</si>
  <si>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</si>
  <si>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</si>
  <si>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</si>
  <si>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</si>
  <si>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</si>
  <si>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</si>
  <si>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</si>
  <si>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TAAGGCGA</t>
  </si>
  <si>
    <t>CGTACTAG</t>
  </si>
  <si>
    <t>AGGCAGAA</t>
  </si>
  <si>
    <t>GGACTCCT</t>
  </si>
  <si>
    <t>CTCTCTAC</t>
  </si>
  <si>
    <t>CGAGGCTG</t>
  </si>
  <si>
    <t>TAGGCATG</t>
  </si>
  <si>
    <t>AAGAGGCA</t>
  </si>
  <si>
    <t>GTAGAGGA</t>
  </si>
  <si>
    <t>GCGTAAGA</t>
  </si>
  <si>
    <t>TATCCTCT</t>
  </si>
  <si>
    <t>GTAAGGAG</t>
  </si>
  <si>
    <t>ACTGCATA</t>
  </si>
  <si>
    <t>Index 1</t>
  </si>
  <si>
    <t>Experiment Name*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</si>
  <si>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</si>
  <si>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</si>
  <si>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</si>
  <si>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</si>
  <si>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</si>
  <si>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</si>
  <si>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</si>
  <si>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</si>
  <si>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</si>
  <si>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</si>
  <si>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</si>
  <si>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</si>
  <si>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</si>
  <si>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</si>
  <si>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</si>
  <si>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</si>
  <si>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</si>
  <si>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</si>
  <si>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</si>
  <si>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</si>
  <si>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</si>
  <si>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</si>
  <si>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</si>
  <si>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</si>
  <si>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</si>
  <si>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</si>
  <si>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</si>
  <si>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</si>
  <si>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</si>
  <si>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</si>
  <si>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</si>
  <si>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</si>
  <si>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</si>
  <si>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</si>
  <si>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</si>
  <si>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</si>
  <si>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</si>
  <si>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</si>
  <si>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</si>
  <si>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</si>
  <si>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</si>
  <si>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</si>
  <si>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</si>
  <si>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</si>
  <si>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</si>
  <si>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</si>
  <si>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</si>
  <si>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</si>
  <si>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</si>
  <si>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</si>
  <si>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</si>
  <si>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</si>
  <si>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</si>
  <si>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</si>
  <si>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</si>
  <si>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</si>
  <si>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</si>
  <si>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</si>
  <si>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</si>
  <si>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</si>
  <si>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</si>
  <si>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</si>
  <si>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</si>
  <si>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</si>
  <si>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Resistance-Sample*</t>
  </si>
  <si>
    <t>Genotyp*</t>
  </si>
  <si>
    <t>HHV-1</t>
  </si>
  <si>
    <t>IV-A</t>
  </si>
  <si>
    <t>IV-B</t>
  </si>
  <si>
    <t>H1N1</t>
  </si>
  <si>
    <t>H3N2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</si>
  <si>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</si>
  <si>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</si>
  <si>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</si>
  <si>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</si>
  <si>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</si>
  <si>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</si>
  <si>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</si>
  <si>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</si>
  <si>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</si>
  <si>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</si>
  <si>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GCTCATGA</t>
  </si>
  <si>
    <t>H720</t>
  </si>
  <si>
    <t>CGGAGCCT</t>
  </si>
  <si>
    <t>H723</t>
  </si>
  <si>
    <t>TAGCGCTC</t>
  </si>
  <si>
    <t>H503</t>
  </si>
  <si>
    <t>H505</t>
  </si>
  <si>
    <t>H506</t>
  </si>
  <si>
    <t>H510</t>
  </si>
  <si>
    <t>CGTCTAAT</t>
  </si>
  <si>
    <t>H513</t>
  </si>
  <si>
    <t>TCGACTAG</t>
  </si>
  <si>
    <t>H516</t>
  </si>
  <si>
    <t>CCTAGAGT</t>
  </si>
  <si>
    <t>H517</t>
  </si>
  <si>
    <t>H522</t>
  </si>
  <si>
    <t>TTATGCGA</t>
  </si>
  <si>
    <t>erste Indexkombination*</t>
  </si>
  <si>
    <t>first position</t>
  </si>
  <si>
    <t>row</t>
  </si>
  <si>
    <t>column</t>
  </si>
  <si>
    <t>A</t>
  </si>
  <si>
    <t>B</t>
  </si>
  <si>
    <t>C</t>
  </si>
  <si>
    <t>D</t>
  </si>
  <si>
    <t>E</t>
  </si>
  <si>
    <t>F</t>
  </si>
  <si>
    <t>G</t>
  </si>
  <si>
    <t>H</t>
  </si>
  <si>
    <t>Reihe</t>
  </si>
  <si>
    <t>Spalte</t>
  </si>
  <si>
    <t>row;column</t>
  </si>
  <si>
    <t>Sarah Wicki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</si>
</sst>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/>
    <xf numFmtId="0" fontId="0" fillId="0" borderId="0" xfId="0"/>
    <xf numFmtId="0" fontId="0" fillId="0" borderId="1" xfId="0" applyFill="1" applyBorder="1" applyAlignment="1">
      <alignment horizontal="left"/>
    </xf>
    <xf numFmtId="0" fontId="0" fillId="0" borderId="0" xfId="0" applyFill="1" applyProtection="1">
      <protection locked="0"/>
    </xf>
    <xf numFmtId="0" fontId="0" fillId="0" borderId="1" xfId="0" applyFill="1" applyBorder="1" applyProtection="1">
      <protection locked="0"/>
    </xf>
    <xf numFmtId="0" fontId="0" fillId="2" borderId="1" xfId="0" applyFill="1" applyBorder="1" applyAlignment="1">
      <alignment horizontal="left" wrapText="1"/>
    </xf>
    <xf numFmtId="0" fontId="0" fillId="3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5" borderId="0" xfId="0" applyFill="1"/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12701</xdr:rowOff>
    </xdr:from>
    <xdr:to>
      <xdr:col>25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20.02.2019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Q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0" width="10.875" style="11" hidden="1" customWidth="1"/>
    <col min="11" max="11" width="10.5" style="23" hidden="1" customWidth="1"/>
    <col min="12" max="12" width="17.875" style="11" customWidth="1"/>
    <col min="13" max="13" width="10.875" style="5" hidden="1" customWidth="1"/>
    <col min="14" max="14" width="10.5" style="23" hidden="1" customWidth="1"/>
    <col min="15" max="15" width="17.875" style="12" customWidth="1"/>
    <col min="16" max="16" width="10.875" style="5" hidden="1" customWidth="1"/>
    <col min="17" max="16384" width="10.875" style="11"/>
  </cols>
  <sheetData>
    <row r="1" spans="1:17" x14ac:dyDescent="0.25">
      <c r="G1" s="12" t="s">
        <v>66</v>
      </c>
      <c r="H1" s="5"/>
      <c r="I1" s="5"/>
      <c r="J1" s="5"/>
      <c r="L1" s="19"/>
    </row>
    <row r="2" spans="1:17" x14ac:dyDescent="0.25">
      <c r="G2" s="12" t="s">
        <v>42</v>
      </c>
      <c r="H2" s="5"/>
      <c r="I2" s="5"/>
      <c r="J2" s="5"/>
      <c r="L2" s="19"/>
    </row>
    <row r="3" spans="1:17" x14ac:dyDescent="0.25">
      <c r="G3" s="12" t="s">
        <v>88</v>
      </c>
      <c r="H3" s="5"/>
      <c r="I3" s="5"/>
      <c r="J3" s="5"/>
      <c r="L3" s="22"/>
    </row>
    <row r="4" spans="1:17" x14ac:dyDescent="0.25">
      <c r="G4" s="12" t="s">
        <v>89</v>
      </c>
      <c r="H4" s="5"/>
      <c r="I4" s="5"/>
      <c r="J4" s="5"/>
      <c r="L4" s="19"/>
    </row>
    <row r="5" spans="1:17" x14ac:dyDescent="0.25">
      <c r="G5" s="12" t="s">
        <v>77</v>
      </c>
      <c r="H5" s="5"/>
      <c r="I5" s="5"/>
      <c r="J5" s="5"/>
      <c r="L5" s="19"/>
    </row>
    <row r="6" spans="1:17" ht="31.5" x14ac:dyDescent="0.25">
      <c r="G6" s="13" t="s">
        <v>91</v>
      </c>
      <c r="H6" s="5"/>
      <c r="I6" s="5"/>
      <c r="J6" s="5"/>
      <c r="L6" s="19"/>
    </row>
    <row r="7" spans="1:17" ht="31.5" x14ac:dyDescent="0.25">
      <c r="G7" s="13" t="s">
        <v>92</v>
      </c>
      <c r="H7" s="5"/>
      <c r="I7" s="5"/>
      <c r="J7" s="5"/>
      <c r="L7" s="19"/>
    </row>
    <row r="8" spans="1:17" x14ac:dyDescent="0.25">
      <c r="G8" s="12" t="s">
        <v>90</v>
      </c>
      <c r="H8" s="5"/>
      <c r="I8" s="5"/>
      <c r="J8" s="5"/>
      <c r="L8" s="21"/>
      <c r="M8" s="35"/>
    </row>
    <row r="9" spans="1:17" x14ac:dyDescent="0.25">
      <c r="H9" s="5"/>
      <c r="I9" s="5"/>
      <c r="J9" s="5"/>
    </row>
    <row r="10" spans="1:17" x14ac:dyDescent="0.25">
      <c r="H10" s="8" t="s">
        <v>142</v>
      </c>
      <c r="I10" s="9"/>
      <c r="J10" s="9" t="s">
        <v>155</v>
      </c>
      <c r="L10" s="12" t="s">
        <v>153</v>
      </c>
      <c r="M10" s="23"/>
      <c r="O10" s="12" t="s">
        <v>154</v>
      </c>
    </row>
    <row r="11" spans="1:17" x14ac:dyDescent="0.25">
      <c r="F11" s="14"/>
      <c r="G11" s="14" t="s">
        <v>141</v>
      </c>
      <c r="H11" s="9">
        <f>IF(SUM('indices order'!E2:E97)=0,1,SUM('indices order'!E2:E97))</f>
        <v>1</v>
      </c>
      <c r="I11" s="9"/>
      <c r="J11" s="9" t="str">
        <f>L11&amp;";"&amp;O11</f>
        <v>;</v>
      </c>
      <c r="L11" s="32"/>
      <c r="O11" s="32"/>
    </row>
    <row r="12" spans="1:17" x14ac:dyDescent="0.25">
      <c r="H12" s="9"/>
      <c r="I12" s="9"/>
      <c r="J12" s="9"/>
    </row>
    <row r="13" spans="1:17" x14ac:dyDescent="0.25">
      <c r="H13" s="9"/>
      <c r="I13" s="9"/>
      <c r="J13" s="9"/>
    </row>
    <row r="14" spans="1:17" ht="38.1" customHeight="1" thickBot="1" x14ac:dyDescent="0.3">
      <c r="A14" s="15" t="s">
        <v>54</v>
      </c>
      <c r="B14" s="16" t="s">
        <v>43</v>
      </c>
      <c r="C14" s="16" t="s">
        <v>105</v>
      </c>
      <c r="D14" s="16" t="s">
        <v>47</v>
      </c>
      <c r="E14" s="17" t="s">
        <v>108</v>
      </c>
      <c r="F14" s="16" t="s">
        <v>50</v>
      </c>
      <c r="G14" s="17" t="s">
        <v>87</v>
      </c>
      <c r="H14" s="10"/>
      <c r="I14" s="10" t="s">
        <v>60</v>
      </c>
      <c r="J14" s="10" t="s">
        <v>61</v>
      </c>
      <c r="K14" s="28" t="s">
        <v>23</v>
      </c>
      <c r="L14" s="17" t="s">
        <v>153</v>
      </c>
      <c r="M14" s="7" t="s">
        <v>64</v>
      </c>
      <c r="N14" s="28" t="s">
        <v>25</v>
      </c>
      <c r="O14" s="31" t="s">
        <v>154</v>
      </c>
      <c r="P14" s="7" t="s">
        <v>65</v>
      </c>
      <c r="Q14" s="17" t="s">
        <v>107</v>
      </c>
    </row>
    <row r="15" spans="1:17" x14ac:dyDescent="0.25">
      <c r="A15" s="5">
        <v>1</v>
      </c>
      <c r="B15" s="19"/>
      <c r="C15" s="19"/>
      <c r="D15" s="19"/>
      <c r="E15" s="19"/>
      <c r="F15" s="19"/>
      <c r="G15" s="19"/>
      <c r="H15" s="5" t="str">
        <f>IF(ISBLANK(B15),"",H11)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29" t="str">
        <f t="shared" ref="K15:K46" si="0">IF(ISBLANK(B15),"",INDEX(I7_Index_ID,I15))</f>
        <v/>
      </c>
      <c r="L15" s="33" t="str">
        <f t="shared" ref="L15:L46" si="1">IF(ISBLANK(B15),"",INDEX(row_order,H15))</f>
        <v/>
      </c>
      <c r="M15" s="5" t="str">
        <f t="shared" ref="M15:M46" si="2">IF(ISBLANK(B15),"",INDEX(I7_Index,MATCH(K15,I7_Index_ID,0)))</f>
        <v/>
      </c>
      <c r="N15" s="29" t="str">
        <f t="shared" ref="N15:N46" si="3">IF(ISBLANK(B15),"",INDEX(I5_Index_ID,J15))</f>
        <v/>
      </c>
      <c r="O15" s="33" t="str">
        <f t="shared" ref="O15:O46" si="4">IF(ISBLANK(B15),"",INDEX(column_order,H15))</f>
        <v/>
      </c>
      <c r="P15" s="5" t="str">
        <f t="shared" ref="P15:P46" si="5">IF(ISBLANK(B15),"",INDEX(I5_Index,MATCH(N15,I5_Index_ID,0)))</f>
        <v/>
      </c>
      <c r="Q15" s="19"/>
    </row>
    <row r="16" spans="1:17" x14ac:dyDescent="0.25">
      <c r="A16" s="5">
        <v>2</v>
      </c>
      <c r="B16" s="25"/>
      <c r="C16" s="24"/>
      <c r="D16" s="19"/>
      <c r="E16" s="19"/>
      <c r="F16" s="19"/>
      <c r="G16" s="19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29" t="str">
        <f t="shared" si="0"/>
        <v/>
      </c>
      <c r="L16" s="33" t="str">
        <f t="shared" si="1"/>
        <v/>
      </c>
      <c r="M16" s="5" t="str">
        <f t="shared" si="2"/>
        <v/>
      </c>
      <c r="N16" s="29" t="str">
        <f t="shared" si="3"/>
        <v/>
      </c>
      <c r="O16" s="33" t="str">
        <f t="shared" si="4"/>
        <v/>
      </c>
      <c r="P16" s="5" t="str">
        <f t="shared" si="5"/>
        <v/>
      </c>
      <c r="Q16" s="19"/>
    </row>
    <row r="17" spans="1:17" x14ac:dyDescent="0.25">
      <c r="A17" s="5">
        <v>3</v>
      </c>
      <c r="B17" s="19"/>
      <c r="C17" s="19"/>
      <c r="D17" s="19"/>
      <c r="E17" s="19"/>
      <c r="F17" s="19"/>
      <c r="G17" s="19"/>
      <c r="H17" s="5" t="str">
        <f t="shared" ref="H17:H80" si="6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29" t="str">
        <f t="shared" si="0"/>
        <v/>
      </c>
      <c r="L17" s="33" t="str">
        <f t="shared" si="1"/>
        <v/>
      </c>
      <c r="M17" s="5" t="str">
        <f t="shared" si="2"/>
        <v/>
      </c>
      <c r="N17" s="29" t="str">
        <f t="shared" si="3"/>
        <v/>
      </c>
      <c r="O17" s="33" t="str">
        <f t="shared" si="4"/>
        <v/>
      </c>
      <c r="P17" s="5" t="str">
        <f t="shared" si="5"/>
        <v/>
      </c>
      <c r="Q17" s="19"/>
    </row>
    <row r="18" spans="1:17" x14ac:dyDescent="0.25">
      <c r="A18" s="5">
        <v>4</v>
      </c>
      <c r="B18" s="19"/>
      <c r="C18" s="19"/>
      <c r="D18" s="19"/>
      <c r="E18" s="19"/>
      <c r="F18" s="19"/>
      <c r="G18" s="19"/>
      <c r="H18" s="5" t="str">
        <f t="shared" si="6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29" t="str">
        <f t="shared" si="0"/>
        <v/>
      </c>
      <c r="L18" s="33" t="str">
        <f t="shared" si="1"/>
        <v/>
      </c>
      <c r="M18" s="5" t="str">
        <f t="shared" si="2"/>
        <v/>
      </c>
      <c r="N18" s="29" t="str">
        <f t="shared" si="3"/>
        <v/>
      </c>
      <c r="O18" s="33" t="str">
        <f t="shared" si="4"/>
        <v/>
      </c>
      <c r="P18" s="5" t="str">
        <f t="shared" si="5"/>
        <v/>
      </c>
      <c r="Q18" s="19"/>
    </row>
    <row r="19" spans="1:17" x14ac:dyDescent="0.25">
      <c r="A19" s="5">
        <v>5</v>
      </c>
      <c r="B19" s="19"/>
      <c r="C19" s="19"/>
      <c r="D19" s="19"/>
      <c r="E19" s="19"/>
      <c r="F19" s="19"/>
      <c r="G19" s="19"/>
      <c r="H19" s="5" t="str">
        <f t="shared" si="6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29" t="str">
        <f t="shared" si="0"/>
        <v/>
      </c>
      <c r="L19" s="33" t="str">
        <f t="shared" si="1"/>
        <v/>
      </c>
      <c r="M19" s="5" t="str">
        <f t="shared" si="2"/>
        <v/>
      </c>
      <c r="N19" s="29" t="str">
        <f t="shared" si="3"/>
        <v/>
      </c>
      <c r="O19" s="33" t="str">
        <f t="shared" si="4"/>
        <v/>
      </c>
      <c r="P19" s="5" t="str">
        <f t="shared" si="5"/>
        <v/>
      </c>
      <c r="Q19" s="19"/>
    </row>
    <row r="20" spans="1:17" x14ac:dyDescent="0.25">
      <c r="A20" s="5">
        <v>6</v>
      </c>
      <c r="B20" s="19"/>
      <c r="C20" s="19"/>
      <c r="D20" s="19"/>
      <c r="E20" s="19"/>
      <c r="F20" s="19"/>
      <c r="G20" s="19"/>
      <c r="H20" s="5" t="str">
        <f t="shared" si="6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29" t="str">
        <f t="shared" si="0"/>
        <v/>
      </c>
      <c r="L20" s="33" t="str">
        <f t="shared" si="1"/>
        <v/>
      </c>
      <c r="M20" s="5" t="str">
        <f t="shared" si="2"/>
        <v/>
      </c>
      <c r="N20" s="29" t="str">
        <f t="shared" si="3"/>
        <v/>
      </c>
      <c r="O20" s="33" t="str">
        <f t="shared" si="4"/>
        <v/>
      </c>
      <c r="P20" s="5" t="str">
        <f t="shared" si="5"/>
        <v/>
      </c>
      <c r="Q20" s="19"/>
    </row>
    <row r="21" spans="1:17" x14ac:dyDescent="0.25">
      <c r="A21" s="5">
        <v>7</v>
      </c>
      <c r="B21" s="19"/>
      <c r="C21" s="19"/>
      <c r="D21" s="19"/>
      <c r="E21" s="19"/>
      <c r="F21" s="19"/>
      <c r="G21" s="19"/>
      <c r="H21" s="5" t="str">
        <f t="shared" si="6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29" t="str">
        <f t="shared" si="0"/>
        <v/>
      </c>
      <c r="L21" s="33" t="str">
        <f t="shared" si="1"/>
        <v/>
      </c>
      <c r="M21" s="5" t="str">
        <f t="shared" si="2"/>
        <v/>
      </c>
      <c r="N21" s="29" t="str">
        <f t="shared" si="3"/>
        <v/>
      </c>
      <c r="O21" s="33" t="str">
        <f t="shared" si="4"/>
        <v/>
      </c>
      <c r="P21" s="5" t="str">
        <f t="shared" si="5"/>
        <v/>
      </c>
      <c r="Q21" s="19"/>
    </row>
    <row r="22" spans="1:17" ht="16.5" thickBot="1" x14ac:dyDescent="0.3">
      <c r="A22" s="7">
        <v>8</v>
      </c>
      <c r="B22" s="20"/>
      <c r="C22" s="20"/>
      <c r="D22" s="20"/>
      <c r="E22" s="20"/>
      <c r="F22" s="20"/>
      <c r="G22" s="20"/>
      <c r="H22" s="7" t="str">
        <f t="shared" si="6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30" t="str">
        <f t="shared" si="0"/>
        <v/>
      </c>
      <c r="L22" s="34" t="str">
        <f t="shared" si="1"/>
        <v/>
      </c>
      <c r="M22" s="7" t="str">
        <f t="shared" si="2"/>
        <v/>
      </c>
      <c r="N22" s="30" t="str">
        <f t="shared" si="3"/>
        <v/>
      </c>
      <c r="O22" s="34" t="str">
        <f t="shared" si="4"/>
        <v/>
      </c>
      <c r="P22" s="7" t="str">
        <f t="shared" si="5"/>
        <v/>
      </c>
      <c r="Q22" s="20"/>
    </row>
    <row r="23" spans="1:17" x14ac:dyDescent="0.25">
      <c r="A23" s="5">
        <v>9</v>
      </c>
      <c r="B23" s="19"/>
      <c r="C23" s="19"/>
      <c r="D23" s="19"/>
      <c r="E23" s="19"/>
      <c r="F23" s="19"/>
      <c r="G23" s="19"/>
      <c r="H23" s="5" t="str">
        <f t="shared" si="6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29" t="str">
        <f t="shared" si="0"/>
        <v/>
      </c>
      <c r="L23" s="33" t="str">
        <f t="shared" si="1"/>
        <v/>
      </c>
      <c r="M23" s="5" t="str">
        <f t="shared" si="2"/>
        <v/>
      </c>
      <c r="N23" s="29" t="str">
        <f t="shared" si="3"/>
        <v/>
      </c>
      <c r="O23" s="33" t="str">
        <f t="shared" si="4"/>
        <v/>
      </c>
      <c r="P23" s="5" t="str">
        <f t="shared" si="5"/>
        <v/>
      </c>
      <c r="Q23" s="19"/>
    </row>
    <row r="24" spans="1:17" x14ac:dyDescent="0.25">
      <c r="A24" s="5">
        <v>10</v>
      </c>
      <c r="B24" s="19"/>
      <c r="C24" s="19"/>
      <c r="D24" s="19"/>
      <c r="E24" s="19"/>
      <c r="F24" s="19"/>
      <c r="G24" s="19"/>
      <c r="H24" s="5" t="str">
        <f t="shared" si="6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29" t="str">
        <f t="shared" si="0"/>
        <v/>
      </c>
      <c r="L24" s="33" t="str">
        <f t="shared" si="1"/>
        <v/>
      </c>
      <c r="M24" s="5" t="str">
        <f t="shared" si="2"/>
        <v/>
      </c>
      <c r="N24" s="29" t="str">
        <f t="shared" si="3"/>
        <v/>
      </c>
      <c r="O24" s="33" t="str">
        <f t="shared" si="4"/>
        <v/>
      </c>
      <c r="P24" s="5" t="str">
        <f t="shared" si="5"/>
        <v/>
      </c>
      <c r="Q24" s="19"/>
    </row>
    <row r="25" spans="1:17" x14ac:dyDescent="0.25">
      <c r="A25" s="5">
        <v>11</v>
      </c>
      <c r="B25" s="19"/>
      <c r="C25" s="19"/>
      <c r="D25" s="19"/>
      <c r="E25" s="19"/>
      <c r="F25" s="19"/>
      <c r="G25" s="19"/>
      <c r="H25" s="5" t="str">
        <f t="shared" si="6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29" t="str">
        <f t="shared" si="0"/>
        <v/>
      </c>
      <c r="L25" s="33" t="str">
        <f t="shared" si="1"/>
        <v/>
      </c>
      <c r="M25" s="5" t="str">
        <f t="shared" si="2"/>
        <v/>
      </c>
      <c r="N25" s="29" t="str">
        <f t="shared" si="3"/>
        <v/>
      </c>
      <c r="O25" s="33" t="str">
        <f t="shared" si="4"/>
        <v/>
      </c>
      <c r="P25" s="5" t="str">
        <f t="shared" si="5"/>
        <v/>
      </c>
      <c r="Q25" s="19"/>
    </row>
    <row r="26" spans="1:17" x14ac:dyDescent="0.25">
      <c r="A26" s="5">
        <v>12</v>
      </c>
      <c r="B26" s="19"/>
      <c r="C26" s="19"/>
      <c r="D26" s="19"/>
      <c r="E26" s="19"/>
      <c r="F26" s="19"/>
      <c r="G26" s="19"/>
      <c r="H26" s="5" t="str">
        <f t="shared" si="6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29" t="str">
        <f t="shared" si="0"/>
        <v/>
      </c>
      <c r="L26" s="33" t="str">
        <f t="shared" si="1"/>
        <v/>
      </c>
      <c r="M26" s="5" t="str">
        <f t="shared" si="2"/>
        <v/>
      </c>
      <c r="N26" s="29" t="str">
        <f t="shared" si="3"/>
        <v/>
      </c>
      <c r="O26" s="33" t="str">
        <f t="shared" si="4"/>
        <v/>
      </c>
      <c r="P26" s="5" t="str">
        <f t="shared" si="5"/>
        <v/>
      </c>
      <c r="Q26" s="19"/>
    </row>
    <row r="27" spans="1:17" x14ac:dyDescent="0.25">
      <c r="A27" s="5">
        <v>13</v>
      </c>
      <c r="B27" s="19"/>
      <c r="C27" s="19"/>
      <c r="D27" s="19"/>
      <c r="E27" s="19"/>
      <c r="F27" s="19"/>
      <c r="G27" s="19"/>
      <c r="H27" s="5" t="str">
        <f t="shared" si="6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29" t="str">
        <f t="shared" si="0"/>
        <v/>
      </c>
      <c r="L27" s="33" t="str">
        <f t="shared" si="1"/>
        <v/>
      </c>
      <c r="M27" s="5" t="str">
        <f t="shared" si="2"/>
        <v/>
      </c>
      <c r="N27" s="29" t="str">
        <f t="shared" si="3"/>
        <v/>
      </c>
      <c r="O27" s="33" t="str">
        <f t="shared" si="4"/>
        <v/>
      </c>
      <c r="P27" s="5" t="str">
        <f t="shared" si="5"/>
        <v/>
      </c>
      <c r="Q27" s="19"/>
    </row>
    <row r="28" spans="1:17" x14ac:dyDescent="0.25">
      <c r="A28" s="5">
        <v>14</v>
      </c>
      <c r="B28" s="19"/>
      <c r="C28" s="19"/>
      <c r="D28" s="19"/>
      <c r="E28" s="19"/>
      <c r="F28" s="19"/>
      <c r="G28" s="19"/>
      <c r="H28" s="5" t="str">
        <f t="shared" si="6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29" t="str">
        <f t="shared" si="0"/>
        <v/>
      </c>
      <c r="L28" s="33" t="str">
        <f t="shared" si="1"/>
        <v/>
      </c>
      <c r="M28" s="5" t="str">
        <f t="shared" si="2"/>
        <v/>
      </c>
      <c r="N28" s="29" t="str">
        <f t="shared" si="3"/>
        <v/>
      </c>
      <c r="O28" s="33" t="str">
        <f t="shared" si="4"/>
        <v/>
      </c>
      <c r="P28" s="5" t="str">
        <f t="shared" si="5"/>
        <v/>
      </c>
      <c r="Q28" s="19"/>
    </row>
    <row r="29" spans="1:17" x14ac:dyDescent="0.25">
      <c r="A29" s="5">
        <v>15</v>
      </c>
      <c r="B29" s="19"/>
      <c r="C29" s="19"/>
      <c r="D29" s="19"/>
      <c r="E29" s="19"/>
      <c r="F29" s="19"/>
      <c r="G29" s="19"/>
      <c r="H29" s="5" t="str">
        <f t="shared" si="6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29" t="str">
        <f t="shared" si="0"/>
        <v/>
      </c>
      <c r="L29" s="33" t="str">
        <f t="shared" si="1"/>
        <v/>
      </c>
      <c r="M29" s="5" t="str">
        <f t="shared" si="2"/>
        <v/>
      </c>
      <c r="N29" s="29" t="str">
        <f t="shared" si="3"/>
        <v/>
      </c>
      <c r="O29" s="33" t="str">
        <f t="shared" si="4"/>
        <v/>
      </c>
      <c r="P29" s="5" t="str">
        <f t="shared" si="5"/>
        <v/>
      </c>
      <c r="Q29" s="19"/>
    </row>
    <row r="30" spans="1:17" ht="16.5" thickBot="1" x14ac:dyDescent="0.3">
      <c r="A30" s="7">
        <v>16</v>
      </c>
      <c r="B30" s="20"/>
      <c r="C30" s="20"/>
      <c r="D30" s="20"/>
      <c r="E30" s="20"/>
      <c r="F30" s="20"/>
      <c r="G30" s="20"/>
      <c r="H30" s="7" t="str">
        <f t="shared" si="6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30" t="str">
        <f t="shared" si="0"/>
        <v/>
      </c>
      <c r="L30" s="34" t="str">
        <f t="shared" si="1"/>
        <v/>
      </c>
      <c r="M30" s="7" t="str">
        <f t="shared" si="2"/>
        <v/>
      </c>
      <c r="N30" s="30" t="str">
        <f t="shared" si="3"/>
        <v/>
      </c>
      <c r="O30" s="34" t="str">
        <f t="shared" si="4"/>
        <v/>
      </c>
      <c r="P30" s="7" t="str">
        <f t="shared" si="5"/>
        <v/>
      </c>
      <c r="Q30" s="20"/>
    </row>
    <row r="31" spans="1:17" x14ac:dyDescent="0.25">
      <c r="A31" s="5">
        <v>17</v>
      </c>
      <c r="B31" s="19"/>
      <c r="C31" s="19"/>
      <c r="D31" s="19"/>
      <c r="E31" s="19"/>
      <c r="F31" s="19"/>
      <c r="G31" s="19"/>
      <c r="H31" s="5" t="str">
        <f t="shared" si="6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29" t="str">
        <f t="shared" si="0"/>
        <v/>
      </c>
      <c r="L31" s="33" t="str">
        <f t="shared" si="1"/>
        <v/>
      </c>
      <c r="M31" s="5" t="str">
        <f t="shared" si="2"/>
        <v/>
      </c>
      <c r="N31" s="29" t="str">
        <f t="shared" si="3"/>
        <v/>
      </c>
      <c r="O31" s="33" t="str">
        <f t="shared" si="4"/>
        <v/>
      </c>
      <c r="P31" s="5" t="str">
        <f t="shared" si="5"/>
        <v/>
      </c>
      <c r="Q31" s="19"/>
    </row>
    <row r="32" spans="1:17" x14ac:dyDescent="0.25">
      <c r="A32" s="5">
        <v>18</v>
      </c>
      <c r="B32" s="19"/>
      <c r="C32" s="19"/>
      <c r="D32" s="19"/>
      <c r="E32" s="19"/>
      <c r="F32" s="19"/>
      <c r="G32" s="19"/>
      <c r="H32" s="5" t="str">
        <f t="shared" si="6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29" t="str">
        <f t="shared" si="0"/>
        <v/>
      </c>
      <c r="L32" s="33" t="str">
        <f t="shared" si="1"/>
        <v/>
      </c>
      <c r="M32" s="5" t="str">
        <f t="shared" si="2"/>
        <v/>
      </c>
      <c r="N32" s="29" t="str">
        <f t="shared" si="3"/>
        <v/>
      </c>
      <c r="O32" s="33" t="str">
        <f t="shared" si="4"/>
        <v/>
      </c>
      <c r="P32" s="5" t="str">
        <f t="shared" si="5"/>
        <v/>
      </c>
      <c r="Q32" s="19"/>
    </row>
    <row r="33" spans="1:17" x14ac:dyDescent="0.25">
      <c r="A33" s="5">
        <v>19</v>
      </c>
      <c r="B33" s="19"/>
      <c r="C33" s="19"/>
      <c r="D33" s="19"/>
      <c r="E33" s="19"/>
      <c r="F33" s="19"/>
      <c r="G33" s="19"/>
      <c r="H33" s="5" t="str">
        <f t="shared" si="6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29" t="str">
        <f t="shared" si="0"/>
        <v/>
      </c>
      <c r="L33" s="33" t="str">
        <f t="shared" si="1"/>
        <v/>
      </c>
      <c r="M33" s="5" t="str">
        <f t="shared" si="2"/>
        <v/>
      </c>
      <c r="N33" s="29" t="str">
        <f t="shared" si="3"/>
        <v/>
      </c>
      <c r="O33" s="33" t="str">
        <f t="shared" si="4"/>
        <v/>
      </c>
      <c r="P33" s="5" t="str">
        <f t="shared" si="5"/>
        <v/>
      </c>
      <c r="Q33" s="19"/>
    </row>
    <row r="34" spans="1:17" x14ac:dyDescent="0.25">
      <c r="A34" s="5">
        <v>20</v>
      </c>
      <c r="B34" s="19"/>
      <c r="C34" s="19"/>
      <c r="D34" s="19"/>
      <c r="E34" s="19"/>
      <c r="F34" s="19"/>
      <c r="G34" s="19"/>
      <c r="H34" s="5" t="str">
        <f t="shared" si="6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29" t="str">
        <f t="shared" si="0"/>
        <v/>
      </c>
      <c r="L34" s="33" t="str">
        <f t="shared" si="1"/>
        <v/>
      </c>
      <c r="M34" s="5" t="str">
        <f t="shared" si="2"/>
        <v/>
      </c>
      <c r="N34" s="29" t="str">
        <f t="shared" si="3"/>
        <v/>
      </c>
      <c r="O34" s="33" t="str">
        <f t="shared" si="4"/>
        <v/>
      </c>
      <c r="P34" s="5" t="str">
        <f t="shared" si="5"/>
        <v/>
      </c>
      <c r="Q34" s="19"/>
    </row>
    <row r="35" spans="1:17" x14ac:dyDescent="0.25">
      <c r="A35" s="5">
        <v>21</v>
      </c>
      <c r="B35" s="19"/>
      <c r="C35" s="19"/>
      <c r="D35" s="19"/>
      <c r="E35" s="19"/>
      <c r="F35" s="19"/>
      <c r="G35" s="19"/>
      <c r="H35" s="5" t="str">
        <f t="shared" si="6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29" t="str">
        <f t="shared" si="0"/>
        <v/>
      </c>
      <c r="L35" s="33" t="str">
        <f t="shared" si="1"/>
        <v/>
      </c>
      <c r="M35" s="5" t="str">
        <f t="shared" si="2"/>
        <v/>
      </c>
      <c r="N35" s="29" t="str">
        <f t="shared" si="3"/>
        <v/>
      </c>
      <c r="O35" s="33" t="str">
        <f t="shared" si="4"/>
        <v/>
      </c>
      <c r="P35" s="5" t="str">
        <f t="shared" si="5"/>
        <v/>
      </c>
      <c r="Q35" s="19"/>
    </row>
    <row r="36" spans="1:17" x14ac:dyDescent="0.25">
      <c r="A36" s="5">
        <v>22</v>
      </c>
      <c r="B36" s="19"/>
      <c r="C36" s="19"/>
      <c r="D36" s="19"/>
      <c r="E36" s="19"/>
      <c r="F36" s="19"/>
      <c r="G36" s="19"/>
      <c r="H36" s="5" t="str">
        <f t="shared" si="6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29" t="str">
        <f t="shared" si="0"/>
        <v/>
      </c>
      <c r="L36" s="33" t="str">
        <f t="shared" si="1"/>
        <v/>
      </c>
      <c r="M36" s="5" t="str">
        <f t="shared" si="2"/>
        <v/>
      </c>
      <c r="N36" s="29" t="str">
        <f t="shared" si="3"/>
        <v/>
      </c>
      <c r="O36" s="33" t="str">
        <f t="shared" si="4"/>
        <v/>
      </c>
      <c r="P36" s="5" t="str">
        <f t="shared" si="5"/>
        <v/>
      </c>
      <c r="Q36" s="19"/>
    </row>
    <row r="37" spans="1:17" x14ac:dyDescent="0.25">
      <c r="A37" s="5">
        <v>23</v>
      </c>
      <c r="B37" s="19"/>
      <c r="C37" s="19"/>
      <c r="D37" s="19"/>
      <c r="E37" s="19"/>
      <c r="F37" s="19"/>
      <c r="G37" s="19"/>
      <c r="H37" s="5" t="str">
        <f t="shared" si="6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29" t="str">
        <f t="shared" si="0"/>
        <v/>
      </c>
      <c r="L37" s="33" t="str">
        <f t="shared" si="1"/>
        <v/>
      </c>
      <c r="M37" s="5" t="str">
        <f t="shared" si="2"/>
        <v/>
      </c>
      <c r="N37" s="29" t="str">
        <f t="shared" si="3"/>
        <v/>
      </c>
      <c r="O37" s="33" t="str">
        <f t="shared" si="4"/>
        <v/>
      </c>
      <c r="P37" s="5" t="str">
        <f t="shared" si="5"/>
        <v/>
      </c>
      <c r="Q37" s="19"/>
    </row>
    <row r="38" spans="1:17" ht="16.5" thickBot="1" x14ac:dyDescent="0.3">
      <c r="A38" s="7">
        <v>24</v>
      </c>
      <c r="B38" s="20"/>
      <c r="C38" s="20"/>
      <c r="D38" s="20"/>
      <c r="E38" s="20"/>
      <c r="F38" s="20"/>
      <c r="G38" s="20"/>
      <c r="H38" s="7" t="str">
        <f t="shared" si="6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30" t="str">
        <f t="shared" si="0"/>
        <v/>
      </c>
      <c r="L38" s="34" t="str">
        <f t="shared" si="1"/>
        <v/>
      </c>
      <c r="M38" s="7" t="str">
        <f t="shared" si="2"/>
        <v/>
      </c>
      <c r="N38" s="30" t="str">
        <f t="shared" si="3"/>
        <v/>
      </c>
      <c r="O38" s="34" t="str">
        <f t="shared" si="4"/>
        <v/>
      </c>
      <c r="P38" s="7" t="str">
        <f t="shared" si="5"/>
        <v/>
      </c>
      <c r="Q38" s="20"/>
    </row>
    <row r="39" spans="1:17" x14ac:dyDescent="0.25">
      <c r="A39" s="5">
        <v>25</v>
      </c>
      <c r="B39" s="19"/>
      <c r="C39" s="19"/>
      <c r="D39" s="19"/>
      <c r="E39" s="19"/>
      <c r="F39" s="19"/>
      <c r="G39" s="19"/>
      <c r="H39" s="5" t="str">
        <f t="shared" si="6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29" t="str">
        <f t="shared" si="0"/>
        <v/>
      </c>
      <c r="L39" s="33" t="str">
        <f t="shared" si="1"/>
        <v/>
      </c>
      <c r="M39" s="5" t="str">
        <f t="shared" si="2"/>
        <v/>
      </c>
      <c r="N39" s="29" t="str">
        <f t="shared" si="3"/>
        <v/>
      </c>
      <c r="O39" s="33" t="str">
        <f t="shared" si="4"/>
        <v/>
      </c>
      <c r="P39" s="5" t="str">
        <f t="shared" si="5"/>
        <v/>
      </c>
      <c r="Q39" s="19"/>
    </row>
    <row r="40" spans="1:17" x14ac:dyDescent="0.25">
      <c r="A40" s="5">
        <v>26</v>
      </c>
      <c r="B40" s="19"/>
      <c r="C40" s="19"/>
      <c r="D40" s="19"/>
      <c r="E40" s="19"/>
      <c r="F40" s="19"/>
      <c r="G40" s="19"/>
      <c r="H40" s="5" t="str">
        <f t="shared" si="6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29" t="str">
        <f t="shared" si="0"/>
        <v/>
      </c>
      <c r="L40" s="33" t="str">
        <f t="shared" si="1"/>
        <v/>
      </c>
      <c r="M40" s="5" t="str">
        <f t="shared" si="2"/>
        <v/>
      </c>
      <c r="N40" s="29" t="str">
        <f t="shared" si="3"/>
        <v/>
      </c>
      <c r="O40" s="33" t="str">
        <f t="shared" si="4"/>
        <v/>
      </c>
      <c r="P40" s="5" t="str">
        <f t="shared" si="5"/>
        <v/>
      </c>
      <c r="Q40" s="19"/>
    </row>
    <row r="41" spans="1:17" x14ac:dyDescent="0.25">
      <c r="A41" s="5">
        <v>27</v>
      </c>
      <c r="B41" s="19"/>
      <c r="C41" s="19"/>
      <c r="D41" s="19"/>
      <c r="E41" s="19"/>
      <c r="F41" s="19"/>
      <c r="G41" s="19"/>
      <c r="H41" s="5" t="str">
        <f t="shared" si="6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29" t="str">
        <f t="shared" si="0"/>
        <v/>
      </c>
      <c r="L41" s="33" t="str">
        <f t="shared" si="1"/>
        <v/>
      </c>
      <c r="M41" s="5" t="str">
        <f t="shared" si="2"/>
        <v/>
      </c>
      <c r="N41" s="29" t="str">
        <f t="shared" si="3"/>
        <v/>
      </c>
      <c r="O41" s="33" t="str">
        <f t="shared" si="4"/>
        <v/>
      </c>
      <c r="P41" s="5" t="str">
        <f t="shared" si="5"/>
        <v/>
      </c>
      <c r="Q41" s="19"/>
    </row>
    <row r="42" spans="1:17" x14ac:dyDescent="0.25">
      <c r="A42" s="5">
        <v>28</v>
      </c>
      <c r="B42" s="19"/>
      <c r="C42" s="19"/>
      <c r="D42" s="19"/>
      <c r="E42" s="19"/>
      <c r="F42" s="19"/>
      <c r="G42" s="19"/>
      <c r="H42" s="5" t="str">
        <f t="shared" si="6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29" t="str">
        <f t="shared" si="0"/>
        <v/>
      </c>
      <c r="L42" s="33" t="str">
        <f t="shared" si="1"/>
        <v/>
      </c>
      <c r="M42" s="5" t="str">
        <f t="shared" si="2"/>
        <v/>
      </c>
      <c r="N42" s="29" t="str">
        <f t="shared" si="3"/>
        <v/>
      </c>
      <c r="O42" s="33" t="str">
        <f t="shared" si="4"/>
        <v/>
      </c>
      <c r="P42" s="5" t="str">
        <f t="shared" si="5"/>
        <v/>
      </c>
      <c r="Q42" s="19"/>
    </row>
    <row r="43" spans="1:17" x14ac:dyDescent="0.25">
      <c r="A43" s="5">
        <v>29</v>
      </c>
      <c r="B43" s="19"/>
      <c r="C43" s="19"/>
      <c r="D43" s="19"/>
      <c r="E43" s="19"/>
      <c r="F43" s="19"/>
      <c r="G43" s="19"/>
      <c r="H43" s="5" t="str">
        <f t="shared" si="6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29" t="str">
        <f t="shared" si="0"/>
        <v/>
      </c>
      <c r="L43" s="33" t="str">
        <f t="shared" si="1"/>
        <v/>
      </c>
      <c r="M43" s="5" t="str">
        <f t="shared" si="2"/>
        <v/>
      </c>
      <c r="N43" s="29" t="str">
        <f t="shared" si="3"/>
        <v/>
      </c>
      <c r="O43" s="33" t="str">
        <f t="shared" si="4"/>
        <v/>
      </c>
      <c r="P43" s="5" t="str">
        <f t="shared" si="5"/>
        <v/>
      </c>
      <c r="Q43" s="19"/>
    </row>
    <row r="44" spans="1:17" x14ac:dyDescent="0.25">
      <c r="A44" s="5">
        <v>30</v>
      </c>
      <c r="B44" s="19"/>
      <c r="C44" s="19"/>
      <c r="D44" s="19"/>
      <c r="E44" s="19"/>
      <c r="F44" s="19"/>
      <c r="G44" s="19"/>
      <c r="H44" s="5" t="str">
        <f t="shared" si="6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29" t="str">
        <f t="shared" si="0"/>
        <v/>
      </c>
      <c r="L44" s="33" t="str">
        <f t="shared" si="1"/>
        <v/>
      </c>
      <c r="M44" s="5" t="str">
        <f t="shared" si="2"/>
        <v/>
      </c>
      <c r="N44" s="29" t="str">
        <f t="shared" si="3"/>
        <v/>
      </c>
      <c r="O44" s="33" t="str">
        <f t="shared" si="4"/>
        <v/>
      </c>
      <c r="P44" s="5" t="str">
        <f t="shared" si="5"/>
        <v/>
      </c>
      <c r="Q44" s="19"/>
    </row>
    <row r="45" spans="1:17" x14ac:dyDescent="0.25">
      <c r="A45" s="5">
        <v>31</v>
      </c>
      <c r="B45" s="19"/>
      <c r="C45" s="19"/>
      <c r="D45" s="19"/>
      <c r="E45" s="19"/>
      <c r="F45" s="19"/>
      <c r="G45" s="19"/>
      <c r="H45" s="5" t="str">
        <f t="shared" si="6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29" t="str">
        <f t="shared" si="0"/>
        <v/>
      </c>
      <c r="L45" s="33" t="str">
        <f t="shared" si="1"/>
        <v/>
      </c>
      <c r="M45" s="5" t="str">
        <f t="shared" si="2"/>
        <v/>
      </c>
      <c r="N45" s="29" t="str">
        <f t="shared" si="3"/>
        <v/>
      </c>
      <c r="O45" s="33" t="str">
        <f t="shared" si="4"/>
        <v/>
      </c>
      <c r="P45" s="5" t="str">
        <f t="shared" si="5"/>
        <v/>
      </c>
      <c r="Q45" s="19"/>
    </row>
    <row r="46" spans="1:17" ht="16.5" thickBot="1" x14ac:dyDescent="0.3">
      <c r="A46" s="7">
        <v>32</v>
      </c>
      <c r="B46" s="20"/>
      <c r="C46" s="20"/>
      <c r="D46" s="20"/>
      <c r="E46" s="20"/>
      <c r="F46" s="20"/>
      <c r="G46" s="20"/>
      <c r="H46" s="7" t="str">
        <f t="shared" si="6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30" t="str">
        <f t="shared" si="0"/>
        <v/>
      </c>
      <c r="L46" s="34" t="str">
        <f t="shared" si="1"/>
        <v/>
      </c>
      <c r="M46" s="7" t="str">
        <f t="shared" si="2"/>
        <v/>
      </c>
      <c r="N46" s="30" t="str">
        <f t="shared" si="3"/>
        <v/>
      </c>
      <c r="O46" s="34" t="str">
        <f t="shared" si="4"/>
        <v/>
      </c>
      <c r="P46" s="7" t="str">
        <f t="shared" si="5"/>
        <v/>
      </c>
      <c r="Q46" s="20"/>
    </row>
    <row r="47" spans="1:17" x14ac:dyDescent="0.25">
      <c r="A47" s="5">
        <v>33</v>
      </c>
      <c r="B47" s="19"/>
      <c r="C47" s="19"/>
      <c r="D47" s="19"/>
      <c r="E47" s="19"/>
      <c r="F47" s="19"/>
      <c r="G47" s="19"/>
      <c r="H47" s="5" t="str">
        <f t="shared" si="6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29" t="str">
        <f t="shared" ref="K47:K78" si="7">IF(ISBLANK(B47),"",INDEX(I7_Index_ID,I47))</f>
        <v/>
      </c>
      <c r="L47" s="33" t="str">
        <f t="shared" ref="L47:L78" si="8">IF(ISBLANK(B47),"",INDEX(row_order,H47))</f>
        <v/>
      </c>
      <c r="M47" s="5" t="str">
        <f t="shared" ref="M47:M78" si="9">IF(ISBLANK(B47),"",INDEX(I7_Index,MATCH(K47,I7_Index_ID,0)))</f>
        <v/>
      </c>
      <c r="N47" s="29" t="str">
        <f t="shared" ref="N47:N78" si="10">IF(ISBLANK(B47),"",INDEX(I5_Index_ID,J47))</f>
        <v/>
      </c>
      <c r="O47" s="33" t="str">
        <f t="shared" ref="O47:O78" si="11">IF(ISBLANK(B47),"",INDEX(column_order,H47))</f>
        <v/>
      </c>
      <c r="P47" s="5" t="str">
        <f t="shared" ref="P47:P78" si="12">IF(ISBLANK(B47),"",INDEX(I5_Index,MATCH(N47,I5_Index_ID,0)))</f>
        <v/>
      </c>
      <c r="Q47" s="19"/>
    </row>
    <row r="48" spans="1:17" x14ac:dyDescent="0.25">
      <c r="A48" s="5">
        <v>34</v>
      </c>
      <c r="B48" s="19"/>
      <c r="C48" s="19"/>
      <c r="D48" s="19"/>
      <c r="E48" s="19"/>
      <c r="F48" s="19"/>
      <c r="G48" s="19"/>
      <c r="H48" s="5" t="str">
        <f t="shared" si="6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29" t="str">
        <f t="shared" si="7"/>
        <v/>
      </c>
      <c r="L48" s="33" t="str">
        <f t="shared" si="8"/>
        <v/>
      </c>
      <c r="M48" s="5" t="str">
        <f t="shared" si="9"/>
        <v/>
      </c>
      <c r="N48" s="29" t="str">
        <f t="shared" si="10"/>
        <v/>
      </c>
      <c r="O48" s="33" t="str">
        <f t="shared" si="11"/>
        <v/>
      </c>
      <c r="P48" s="5" t="str">
        <f t="shared" si="12"/>
        <v/>
      </c>
      <c r="Q48" s="19"/>
    </row>
    <row r="49" spans="1:17" x14ac:dyDescent="0.25">
      <c r="A49" s="5">
        <v>35</v>
      </c>
      <c r="B49" s="19"/>
      <c r="C49" s="19"/>
      <c r="D49" s="19"/>
      <c r="E49" s="19"/>
      <c r="F49" s="19"/>
      <c r="G49" s="19"/>
      <c r="H49" s="5" t="str">
        <f t="shared" si="6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29" t="str">
        <f t="shared" si="7"/>
        <v/>
      </c>
      <c r="L49" s="33" t="str">
        <f t="shared" si="8"/>
        <v/>
      </c>
      <c r="M49" s="5" t="str">
        <f t="shared" si="9"/>
        <v/>
      </c>
      <c r="N49" s="29" t="str">
        <f t="shared" si="10"/>
        <v/>
      </c>
      <c r="O49" s="33" t="str">
        <f t="shared" si="11"/>
        <v/>
      </c>
      <c r="P49" s="5" t="str">
        <f t="shared" si="12"/>
        <v/>
      </c>
      <c r="Q49" s="19"/>
    </row>
    <row r="50" spans="1:17" x14ac:dyDescent="0.25">
      <c r="A50" s="5">
        <v>36</v>
      </c>
      <c r="B50" s="19"/>
      <c r="C50" s="19"/>
      <c r="D50" s="19"/>
      <c r="E50" s="19"/>
      <c r="F50" s="19"/>
      <c r="G50" s="19"/>
      <c r="H50" s="5" t="str">
        <f t="shared" si="6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29" t="str">
        <f t="shared" si="7"/>
        <v/>
      </c>
      <c r="L50" s="33" t="str">
        <f t="shared" si="8"/>
        <v/>
      </c>
      <c r="M50" s="5" t="str">
        <f t="shared" si="9"/>
        <v/>
      </c>
      <c r="N50" s="29" t="str">
        <f t="shared" si="10"/>
        <v/>
      </c>
      <c r="O50" s="33" t="str">
        <f t="shared" si="11"/>
        <v/>
      </c>
      <c r="P50" s="5" t="str">
        <f t="shared" si="12"/>
        <v/>
      </c>
      <c r="Q50" s="19"/>
    </row>
    <row r="51" spans="1:17" x14ac:dyDescent="0.25">
      <c r="A51" s="5">
        <v>37</v>
      </c>
      <c r="B51" s="19"/>
      <c r="C51" s="19"/>
      <c r="D51" s="19"/>
      <c r="E51" s="19"/>
      <c r="F51" s="19"/>
      <c r="G51" s="19"/>
      <c r="H51" s="5" t="str">
        <f t="shared" si="6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29" t="str">
        <f t="shared" si="7"/>
        <v/>
      </c>
      <c r="L51" s="33" t="str">
        <f t="shared" si="8"/>
        <v/>
      </c>
      <c r="M51" s="5" t="str">
        <f t="shared" si="9"/>
        <v/>
      </c>
      <c r="N51" s="29" t="str">
        <f t="shared" si="10"/>
        <v/>
      </c>
      <c r="O51" s="33" t="str">
        <f t="shared" si="11"/>
        <v/>
      </c>
      <c r="P51" s="5" t="str">
        <f t="shared" si="12"/>
        <v/>
      </c>
      <c r="Q51" s="19"/>
    </row>
    <row r="52" spans="1:17" x14ac:dyDescent="0.25">
      <c r="A52" s="5">
        <v>38</v>
      </c>
      <c r="B52" s="19"/>
      <c r="C52" s="19"/>
      <c r="D52" s="19"/>
      <c r="E52" s="19"/>
      <c r="F52" s="19"/>
      <c r="G52" s="19"/>
      <c r="H52" s="5" t="str">
        <f t="shared" si="6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29" t="str">
        <f t="shared" si="7"/>
        <v/>
      </c>
      <c r="L52" s="33" t="str">
        <f t="shared" si="8"/>
        <v/>
      </c>
      <c r="M52" s="5" t="str">
        <f t="shared" si="9"/>
        <v/>
      </c>
      <c r="N52" s="29" t="str">
        <f t="shared" si="10"/>
        <v/>
      </c>
      <c r="O52" s="33" t="str">
        <f t="shared" si="11"/>
        <v/>
      </c>
      <c r="P52" s="5" t="str">
        <f t="shared" si="12"/>
        <v/>
      </c>
      <c r="Q52" s="19"/>
    </row>
    <row r="53" spans="1:17" x14ac:dyDescent="0.25">
      <c r="A53" s="5">
        <v>39</v>
      </c>
      <c r="B53" s="19"/>
      <c r="C53" s="19"/>
      <c r="D53" s="19"/>
      <c r="E53" s="19"/>
      <c r="F53" s="19"/>
      <c r="G53" s="19"/>
      <c r="H53" s="5" t="str">
        <f t="shared" si="6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29" t="str">
        <f t="shared" si="7"/>
        <v/>
      </c>
      <c r="L53" s="33" t="str">
        <f t="shared" si="8"/>
        <v/>
      </c>
      <c r="M53" s="5" t="str">
        <f t="shared" si="9"/>
        <v/>
      </c>
      <c r="N53" s="29" t="str">
        <f t="shared" si="10"/>
        <v/>
      </c>
      <c r="O53" s="33" t="str">
        <f t="shared" si="11"/>
        <v/>
      </c>
      <c r="P53" s="5" t="str">
        <f t="shared" si="12"/>
        <v/>
      </c>
      <c r="Q53" s="19"/>
    </row>
    <row r="54" spans="1:17" ht="16.5" thickBot="1" x14ac:dyDescent="0.3">
      <c r="A54" s="7">
        <v>40</v>
      </c>
      <c r="B54" s="20"/>
      <c r="C54" s="20"/>
      <c r="D54" s="20"/>
      <c r="E54" s="20"/>
      <c r="F54" s="20"/>
      <c r="G54" s="20"/>
      <c r="H54" s="7" t="str">
        <f t="shared" si="6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30" t="str">
        <f t="shared" si="7"/>
        <v/>
      </c>
      <c r="L54" s="34" t="str">
        <f t="shared" si="8"/>
        <v/>
      </c>
      <c r="M54" s="7" t="str">
        <f t="shared" si="9"/>
        <v/>
      </c>
      <c r="N54" s="30" t="str">
        <f t="shared" si="10"/>
        <v/>
      </c>
      <c r="O54" s="34" t="str">
        <f t="shared" si="11"/>
        <v/>
      </c>
      <c r="P54" s="7" t="str">
        <f t="shared" si="12"/>
        <v/>
      </c>
      <c r="Q54" s="20"/>
    </row>
    <row r="55" spans="1:17" x14ac:dyDescent="0.25">
      <c r="A55" s="5">
        <v>41</v>
      </c>
      <c r="B55" s="19"/>
      <c r="C55" s="19"/>
      <c r="D55" s="19"/>
      <c r="E55" s="19"/>
      <c r="F55" s="19"/>
      <c r="G55" s="19"/>
      <c r="H55" s="5" t="str">
        <f t="shared" si="6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29" t="str">
        <f t="shared" si="7"/>
        <v/>
      </c>
      <c r="L55" s="33" t="str">
        <f t="shared" si="8"/>
        <v/>
      </c>
      <c r="M55" s="5" t="str">
        <f t="shared" si="9"/>
        <v/>
      </c>
      <c r="N55" s="29" t="str">
        <f t="shared" si="10"/>
        <v/>
      </c>
      <c r="O55" s="33" t="str">
        <f t="shared" si="11"/>
        <v/>
      </c>
      <c r="P55" s="5" t="str">
        <f t="shared" si="12"/>
        <v/>
      </c>
      <c r="Q55" s="19"/>
    </row>
    <row r="56" spans="1:17" x14ac:dyDescent="0.25">
      <c r="A56" s="5">
        <v>42</v>
      </c>
      <c r="B56" s="19"/>
      <c r="C56" s="19"/>
      <c r="D56" s="19"/>
      <c r="E56" s="19"/>
      <c r="F56" s="19"/>
      <c r="G56" s="19"/>
      <c r="H56" s="5" t="str">
        <f t="shared" si="6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29" t="str">
        <f t="shared" si="7"/>
        <v/>
      </c>
      <c r="L56" s="33" t="str">
        <f t="shared" si="8"/>
        <v/>
      </c>
      <c r="M56" s="5" t="str">
        <f t="shared" si="9"/>
        <v/>
      </c>
      <c r="N56" s="29" t="str">
        <f t="shared" si="10"/>
        <v/>
      </c>
      <c r="O56" s="33" t="str">
        <f t="shared" si="11"/>
        <v/>
      </c>
      <c r="P56" s="5" t="str">
        <f t="shared" si="12"/>
        <v/>
      </c>
      <c r="Q56" s="19"/>
    </row>
    <row r="57" spans="1:17" x14ac:dyDescent="0.25">
      <c r="A57" s="5">
        <v>43</v>
      </c>
      <c r="B57" s="19"/>
      <c r="C57" s="19"/>
      <c r="D57" s="19"/>
      <c r="E57" s="19"/>
      <c r="F57" s="19"/>
      <c r="G57" s="19"/>
      <c r="H57" s="5" t="str">
        <f t="shared" si="6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29" t="str">
        <f t="shared" si="7"/>
        <v/>
      </c>
      <c r="L57" s="33" t="str">
        <f t="shared" si="8"/>
        <v/>
      </c>
      <c r="M57" s="5" t="str">
        <f t="shared" si="9"/>
        <v/>
      </c>
      <c r="N57" s="29" t="str">
        <f t="shared" si="10"/>
        <v/>
      </c>
      <c r="O57" s="33" t="str">
        <f t="shared" si="11"/>
        <v/>
      </c>
      <c r="P57" s="5" t="str">
        <f t="shared" si="12"/>
        <v/>
      </c>
      <c r="Q57" s="19"/>
    </row>
    <row r="58" spans="1:17" x14ac:dyDescent="0.25">
      <c r="A58" s="5">
        <v>44</v>
      </c>
      <c r="B58" s="19"/>
      <c r="C58" s="19"/>
      <c r="D58" s="19"/>
      <c r="E58" s="19"/>
      <c r="F58" s="19"/>
      <c r="G58" s="19"/>
      <c r="H58" s="5" t="str">
        <f t="shared" si="6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29" t="str">
        <f t="shared" si="7"/>
        <v/>
      </c>
      <c r="L58" s="33" t="str">
        <f t="shared" si="8"/>
        <v/>
      </c>
      <c r="M58" s="5" t="str">
        <f t="shared" si="9"/>
        <v/>
      </c>
      <c r="N58" s="29" t="str">
        <f t="shared" si="10"/>
        <v/>
      </c>
      <c r="O58" s="33" t="str">
        <f t="shared" si="11"/>
        <v/>
      </c>
      <c r="P58" s="5" t="str">
        <f t="shared" si="12"/>
        <v/>
      </c>
      <c r="Q58" s="19"/>
    </row>
    <row r="59" spans="1:17" x14ac:dyDescent="0.25">
      <c r="A59" s="5">
        <v>45</v>
      </c>
      <c r="B59" s="19"/>
      <c r="C59" s="19"/>
      <c r="D59" s="19"/>
      <c r="E59" s="19"/>
      <c r="F59" s="19"/>
      <c r="G59" s="19"/>
      <c r="H59" s="5" t="str">
        <f t="shared" si="6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29" t="str">
        <f t="shared" si="7"/>
        <v/>
      </c>
      <c r="L59" s="33" t="str">
        <f t="shared" si="8"/>
        <v/>
      </c>
      <c r="M59" s="5" t="str">
        <f t="shared" si="9"/>
        <v/>
      </c>
      <c r="N59" s="29" t="str">
        <f t="shared" si="10"/>
        <v/>
      </c>
      <c r="O59" s="33" t="str">
        <f t="shared" si="11"/>
        <v/>
      </c>
      <c r="P59" s="5" t="str">
        <f t="shared" si="12"/>
        <v/>
      </c>
      <c r="Q59" s="19"/>
    </row>
    <row r="60" spans="1:17" x14ac:dyDescent="0.25">
      <c r="A60" s="5">
        <v>46</v>
      </c>
      <c r="B60" s="19"/>
      <c r="C60" s="19"/>
      <c r="D60" s="19"/>
      <c r="E60" s="19"/>
      <c r="F60" s="19"/>
      <c r="G60" s="19"/>
      <c r="H60" s="5" t="str">
        <f t="shared" si="6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29" t="str">
        <f t="shared" si="7"/>
        <v/>
      </c>
      <c r="L60" s="33" t="str">
        <f t="shared" si="8"/>
        <v/>
      </c>
      <c r="M60" s="5" t="str">
        <f t="shared" si="9"/>
        <v/>
      </c>
      <c r="N60" s="29" t="str">
        <f t="shared" si="10"/>
        <v/>
      </c>
      <c r="O60" s="33" t="str">
        <f t="shared" si="11"/>
        <v/>
      </c>
      <c r="P60" s="5" t="str">
        <f t="shared" si="12"/>
        <v/>
      </c>
      <c r="Q60" s="19"/>
    </row>
    <row r="61" spans="1:17" x14ac:dyDescent="0.25">
      <c r="A61" s="5">
        <v>47</v>
      </c>
      <c r="B61" s="19"/>
      <c r="C61" s="19"/>
      <c r="D61" s="19"/>
      <c r="E61" s="19"/>
      <c r="F61" s="19"/>
      <c r="G61" s="19"/>
      <c r="H61" s="5" t="str">
        <f t="shared" si="6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29" t="str">
        <f t="shared" si="7"/>
        <v/>
      </c>
      <c r="L61" s="33" t="str">
        <f t="shared" si="8"/>
        <v/>
      </c>
      <c r="M61" s="5" t="str">
        <f t="shared" si="9"/>
        <v/>
      </c>
      <c r="N61" s="29" t="str">
        <f t="shared" si="10"/>
        <v/>
      </c>
      <c r="O61" s="33" t="str">
        <f t="shared" si="11"/>
        <v/>
      </c>
      <c r="P61" s="5" t="str">
        <f t="shared" si="12"/>
        <v/>
      </c>
      <c r="Q61" s="19"/>
    </row>
    <row r="62" spans="1:17" ht="16.5" thickBot="1" x14ac:dyDescent="0.3">
      <c r="A62" s="7">
        <v>48</v>
      </c>
      <c r="B62" s="20"/>
      <c r="C62" s="20"/>
      <c r="D62" s="20"/>
      <c r="E62" s="20"/>
      <c r="F62" s="20"/>
      <c r="G62" s="20"/>
      <c r="H62" s="7" t="str">
        <f t="shared" si="6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30" t="str">
        <f t="shared" si="7"/>
        <v/>
      </c>
      <c r="L62" s="34" t="str">
        <f t="shared" si="8"/>
        <v/>
      </c>
      <c r="M62" s="7" t="str">
        <f t="shared" si="9"/>
        <v/>
      </c>
      <c r="N62" s="30" t="str">
        <f t="shared" si="10"/>
        <v/>
      </c>
      <c r="O62" s="34" t="str">
        <f t="shared" si="11"/>
        <v/>
      </c>
      <c r="P62" s="7" t="str">
        <f t="shared" si="12"/>
        <v/>
      </c>
      <c r="Q62" s="20"/>
    </row>
    <row r="63" spans="1:17" x14ac:dyDescent="0.25">
      <c r="A63" s="5">
        <v>49</v>
      </c>
      <c r="B63" s="19"/>
      <c r="C63" s="19"/>
      <c r="D63" s="19"/>
      <c r="E63" s="19"/>
      <c r="F63" s="19"/>
      <c r="G63" s="19"/>
      <c r="H63" s="5" t="str">
        <f t="shared" si="6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29" t="str">
        <f t="shared" si="7"/>
        <v/>
      </c>
      <c r="L63" s="33" t="str">
        <f t="shared" si="8"/>
        <v/>
      </c>
      <c r="M63" s="5" t="str">
        <f t="shared" si="9"/>
        <v/>
      </c>
      <c r="N63" s="29" t="str">
        <f t="shared" si="10"/>
        <v/>
      </c>
      <c r="O63" s="33" t="str">
        <f t="shared" si="11"/>
        <v/>
      </c>
      <c r="P63" s="5" t="str">
        <f t="shared" si="12"/>
        <v/>
      </c>
      <c r="Q63" s="19"/>
    </row>
    <row r="64" spans="1:17" x14ac:dyDescent="0.25">
      <c r="A64" s="5">
        <v>50</v>
      </c>
      <c r="B64" s="19"/>
      <c r="C64" s="19"/>
      <c r="D64" s="19"/>
      <c r="E64" s="19"/>
      <c r="F64" s="19"/>
      <c r="G64" s="19"/>
      <c r="H64" s="5" t="str">
        <f t="shared" si="6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29" t="str">
        <f t="shared" si="7"/>
        <v/>
      </c>
      <c r="L64" s="33" t="str">
        <f t="shared" si="8"/>
        <v/>
      </c>
      <c r="M64" s="5" t="str">
        <f t="shared" si="9"/>
        <v/>
      </c>
      <c r="N64" s="29" t="str">
        <f t="shared" si="10"/>
        <v/>
      </c>
      <c r="O64" s="33" t="str">
        <f t="shared" si="11"/>
        <v/>
      </c>
      <c r="P64" s="5" t="str">
        <f t="shared" si="12"/>
        <v/>
      </c>
      <c r="Q64" s="19"/>
    </row>
    <row r="65" spans="1:17" x14ac:dyDescent="0.25">
      <c r="A65" s="5">
        <v>51</v>
      </c>
      <c r="B65" s="19"/>
      <c r="C65" s="19"/>
      <c r="D65" s="19"/>
      <c r="E65" s="19"/>
      <c r="F65" s="19"/>
      <c r="G65" s="19"/>
      <c r="H65" s="5" t="str">
        <f t="shared" si="6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29" t="str">
        <f t="shared" si="7"/>
        <v/>
      </c>
      <c r="L65" s="33" t="str">
        <f t="shared" si="8"/>
        <v/>
      </c>
      <c r="M65" s="5" t="str">
        <f t="shared" si="9"/>
        <v/>
      </c>
      <c r="N65" s="29" t="str">
        <f t="shared" si="10"/>
        <v/>
      </c>
      <c r="O65" s="33" t="str">
        <f t="shared" si="11"/>
        <v/>
      </c>
      <c r="P65" s="5" t="str">
        <f t="shared" si="12"/>
        <v/>
      </c>
      <c r="Q65" s="19"/>
    </row>
    <row r="66" spans="1:17" x14ac:dyDescent="0.25">
      <c r="A66" s="5">
        <v>52</v>
      </c>
      <c r="B66" s="19"/>
      <c r="C66" s="19"/>
      <c r="D66" s="19"/>
      <c r="E66" s="19"/>
      <c r="F66" s="19"/>
      <c r="G66" s="19"/>
      <c r="H66" s="5" t="str">
        <f t="shared" si="6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29" t="str">
        <f t="shared" si="7"/>
        <v/>
      </c>
      <c r="L66" s="33" t="str">
        <f t="shared" si="8"/>
        <v/>
      </c>
      <c r="M66" s="5" t="str">
        <f t="shared" si="9"/>
        <v/>
      </c>
      <c r="N66" s="29" t="str">
        <f t="shared" si="10"/>
        <v/>
      </c>
      <c r="O66" s="33" t="str">
        <f t="shared" si="11"/>
        <v/>
      </c>
      <c r="P66" s="5" t="str">
        <f t="shared" si="12"/>
        <v/>
      </c>
      <c r="Q66" s="19"/>
    </row>
    <row r="67" spans="1:17" x14ac:dyDescent="0.25">
      <c r="A67" s="5">
        <v>53</v>
      </c>
      <c r="B67" s="19"/>
      <c r="C67" s="19"/>
      <c r="D67" s="19"/>
      <c r="E67" s="19"/>
      <c r="F67" s="19"/>
      <c r="G67" s="19"/>
      <c r="H67" s="5" t="str">
        <f t="shared" si="6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29" t="str">
        <f t="shared" si="7"/>
        <v/>
      </c>
      <c r="L67" s="33" t="str">
        <f t="shared" si="8"/>
        <v/>
      </c>
      <c r="M67" s="5" t="str">
        <f t="shared" si="9"/>
        <v/>
      </c>
      <c r="N67" s="29" t="str">
        <f t="shared" si="10"/>
        <v/>
      </c>
      <c r="O67" s="33" t="str">
        <f t="shared" si="11"/>
        <v/>
      </c>
      <c r="P67" s="5" t="str">
        <f t="shared" si="12"/>
        <v/>
      </c>
      <c r="Q67" s="19"/>
    </row>
    <row r="68" spans="1:17" x14ac:dyDescent="0.25">
      <c r="A68" s="5">
        <v>54</v>
      </c>
      <c r="B68" s="19"/>
      <c r="C68" s="19"/>
      <c r="D68" s="19"/>
      <c r="E68" s="19"/>
      <c r="F68" s="19"/>
      <c r="G68" s="19"/>
      <c r="H68" s="5" t="str">
        <f t="shared" si="6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29" t="str">
        <f t="shared" si="7"/>
        <v/>
      </c>
      <c r="L68" s="33" t="str">
        <f t="shared" si="8"/>
        <v/>
      </c>
      <c r="M68" s="5" t="str">
        <f t="shared" si="9"/>
        <v/>
      </c>
      <c r="N68" s="29" t="str">
        <f t="shared" si="10"/>
        <v/>
      </c>
      <c r="O68" s="33" t="str">
        <f t="shared" si="11"/>
        <v/>
      </c>
      <c r="P68" s="5" t="str">
        <f t="shared" si="12"/>
        <v/>
      </c>
      <c r="Q68" s="19"/>
    </row>
    <row r="69" spans="1:17" x14ac:dyDescent="0.25">
      <c r="A69" s="5">
        <v>55</v>
      </c>
      <c r="B69" s="19"/>
      <c r="C69" s="19"/>
      <c r="D69" s="19"/>
      <c r="E69" s="19"/>
      <c r="F69" s="19"/>
      <c r="G69" s="19"/>
      <c r="H69" s="5" t="str">
        <f t="shared" si="6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29" t="str">
        <f t="shared" si="7"/>
        <v/>
      </c>
      <c r="L69" s="33" t="str">
        <f t="shared" si="8"/>
        <v/>
      </c>
      <c r="M69" s="5" t="str">
        <f t="shared" si="9"/>
        <v/>
      </c>
      <c r="N69" s="29" t="str">
        <f t="shared" si="10"/>
        <v/>
      </c>
      <c r="O69" s="33" t="str">
        <f t="shared" si="11"/>
        <v/>
      </c>
      <c r="P69" s="5" t="str">
        <f t="shared" si="12"/>
        <v/>
      </c>
      <c r="Q69" s="19"/>
    </row>
    <row r="70" spans="1:17" ht="16.5" thickBot="1" x14ac:dyDescent="0.3">
      <c r="A70" s="7">
        <v>56</v>
      </c>
      <c r="B70" s="20"/>
      <c r="C70" s="20"/>
      <c r="D70" s="20"/>
      <c r="E70" s="20"/>
      <c r="F70" s="20"/>
      <c r="G70" s="20"/>
      <c r="H70" s="7" t="str">
        <f t="shared" si="6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30" t="str">
        <f t="shared" si="7"/>
        <v/>
      </c>
      <c r="L70" s="34" t="str">
        <f t="shared" si="8"/>
        <v/>
      </c>
      <c r="M70" s="7" t="str">
        <f t="shared" si="9"/>
        <v/>
      </c>
      <c r="N70" s="30" t="str">
        <f t="shared" si="10"/>
        <v/>
      </c>
      <c r="O70" s="34" t="str">
        <f t="shared" si="11"/>
        <v/>
      </c>
      <c r="P70" s="7" t="str">
        <f t="shared" si="12"/>
        <v/>
      </c>
      <c r="Q70" s="20"/>
    </row>
    <row r="71" spans="1:17" x14ac:dyDescent="0.25">
      <c r="A71" s="5">
        <v>57</v>
      </c>
      <c r="B71" s="19"/>
      <c r="C71" s="19"/>
      <c r="D71" s="19"/>
      <c r="E71" s="19"/>
      <c r="F71" s="19"/>
      <c r="G71" s="19"/>
      <c r="H71" s="5" t="str">
        <f t="shared" si="6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29" t="str">
        <f t="shared" si="7"/>
        <v/>
      </c>
      <c r="L71" s="33" t="str">
        <f t="shared" si="8"/>
        <v/>
      </c>
      <c r="M71" s="5" t="str">
        <f t="shared" si="9"/>
        <v/>
      </c>
      <c r="N71" s="29" t="str">
        <f t="shared" si="10"/>
        <v/>
      </c>
      <c r="O71" s="33" t="str">
        <f t="shared" si="11"/>
        <v/>
      </c>
      <c r="P71" s="5" t="str">
        <f t="shared" si="12"/>
        <v/>
      </c>
      <c r="Q71" s="19"/>
    </row>
    <row r="72" spans="1:17" x14ac:dyDescent="0.25">
      <c r="A72" s="5">
        <v>58</v>
      </c>
      <c r="B72" s="19"/>
      <c r="C72" s="19"/>
      <c r="D72" s="19"/>
      <c r="E72" s="19"/>
      <c r="F72" s="19"/>
      <c r="G72" s="19"/>
      <c r="H72" s="5" t="str">
        <f t="shared" si="6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29" t="str">
        <f t="shared" si="7"/>
        <v/>
      </c>
      <c r="L72" s="33" t="str">
        <f t="shared" si="8"/>
        <v/>
      </c>
      <c r="M72" s="5" t="str">
        <f t="shared" si="9"/>
        <v/>
      </c>
      <c r="N72" s="29" t="str">
        <f t="shared" si="10"/>
        <v/>
      </c>
      <c r="O72" s="33" t="str">
        <f t="shared" si="11"/>
        <v/>
      </c>
      <c r="P72" s="5" t="str">
        <f t="shared" si="12"/>
        <v/>
      </c>
      <c r="Q72" s="19"/>
    </row>
    <row r="73" spans="1:17" x14ac:dyDescent="0.25">
      <c r="A73" s="5">
        <v>59</v>
      </c>
      <c r="B73" s="19"/>
      <c r="C73" s="19"/>
      <c r="D73" s="19"/>
      <c r="E73" s="19"/>
      <c r="F73" s="19"/>
      <c r="G73" s="19"/>
      <c r="H73" s="5" t="str">
        <f t="shared" si="6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29" t="str">
        <f t="shared" si="7"/>
        <v/>
      </c>
      <c r="L73" s="33" t="str">
        <f t="shared" si="8"/>
        <v/>
      </c>
      <c r="M73" s="5" t="str">
        <f t="shared" si="9"/>
        <v/>
      </c>
      <c r="N73" s="29" t="str">
        <f t="shared" si="10"/>
        <v/>
      </c>
      <c r="O73" s="33" t="str">
        <f t="shared" si="11"/>
        <v/>
      </c>
      <c r="P73" s="5" t="str">
        <f t="shared" si="12"/>
        <v/>
      </c>
      <c r="Q73" s="19"/>
    </row>
    <row r="74" spans="1:17" x14ac:dyDescent="0.25">
      <c r="A74" s="5">
        <v>60</v>
      </c>
      <c r="B74" s="19"/>
      <c r="C74" s="19"/>
      <c r="D74" s="19"/>
      <c r="E74" s="19"/>
      <c r="F74" s="19"/>
      <c r="G74" s="19"/>
      <c r="H74" s="5" t="str">
        <f t="shared" si="6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29" t="str">
        <f t="shared" si="7"/>
        <v/>
      </c>
      <c r="L74" s="33" t="str">
        <f t="shared" si="8"/>
        <v/>
      </c>
      <c r="M74" s="5" t="str">
        <f t="shared" si="9"/>
        <v/>
      </c>
      <c r="N74" s="29" t="str">
        <f t="shared" si="10"/>
        <v/>
      </c>
      <c r="O74" s="33" t="str">
        <f t="shared" si="11"/>
        <v/>
      </c>
      <c r="P74" s="5" t="str">
        <f t="shared" si="12"/>
        <v/>
      </c>
      <c r="Q74" s="19"/>
    </row>
    <row r="75" spans="1:17" x14ac:dyDescent="0.25">
      <c r="A75" s="5">
        <v>61</v>
      </c>
      <c r="B75" s="19"/>
      <c r="C75" s="19"/>
      <c r="D75" s="19"/>
      <c r="E75" s="19"/>
      <c r="F75" s="19"/>
      <c r="G75" s="19"/>
      <c r="H75" s="5" t="str">
        <f t="shared" si="6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29" t="str">
        <f t="shared" si="7"/>
        <v/>
      </c>
      <c r="L75" s="33" t="str">
        <f t="shared" si="8"/>
        <v/>
      </c>
      <c r="M75" s="5" t="str">
        <f t="shared" si="9"/>
        <v/>
      </c>
      <c r="N75" s="29" t="str">
        <f t="shared" si="10"/>
        <v/>
      </c>
      <c r="O75" s="33" t="str">
        <f t="shared" si="11"/>
        <v/>
      </c>
      <c r="P75" s="5" t="str">
        <f t="shared" si="12"/>
        <v/>
      </c>
      <c r="Q75" s="19"/>
    </row>
    <row r="76" spans="1:17" x14ac:dyDescent="0.25">
      <c r="A76" s="5">
        <v>62</v>
      </c>
      <c r="B76" s="19"/>
      <c r="C76" s="19"/>
      <c r="D76" s="19"/>
      <c r="E76" s="19"/>
      <c r="F76" s="19"/>
      <c r="G76" s="19"/>
      <c r="H76" s="5" t="str">
        <f t="shared" si="6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29" t="str">
        <f t="shared" si="7"/>
        <v/>
      </c>
      <c r="L76" s="33" t="str">
        <f t="shared" si="8"/>
        <v/>
      </c>
      <c r="M76" s="5" t="str">
        <f t="shared" si="9"/>
        <v/>
      </c>
      <c r="N76" s="29" t="str">
        <f t="shared" si="10"/>
        <v/>
      </c>
      <c r="O76" s="33" t="str">
        <f t="shared" si="11"/>
        <v/>
      </c>
      <c r="P76" s="5" t="str">
        <f t="shared" si="12"/>
        <v/>
      </c>
      <c r="Q76" s="19"/>
    </row>
    <row r="77" spans="1:17" x14ac:dyDescent="0.25">
      <c r="A77" s="5">
        <v>63</v>
      </c>
      <c r="B77" s="19"/>
      <c r="C77" s="19"/>
      <c r="D77" s="19"/>
      <c r="E77" s="19"/>
      <c r="F77" s="19"/>
      <c r="G77" s="19"/>
      <c r="H77" s="5" t="str">
        <f t="shared" si="6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29" t="str">
        <f t="shared" si="7"/>
        <v/>
      </c>
      <c r="L77" s="33" t="str">
        <f t="shared" si="8"/>
        <v/>
      </c>
      <c r="M77" s="5" t="str">
        <f t="shared" si="9"/>
        <v/>
      </c>
      <c r="N77" s="29" t="str">
        <f t="shared" si="10"/>
        <v/>
      </c>
      <c r="O77" s="33" t="str">
        <f t="shared" si="11"/>
        <v/>
      </c>
      <c r="P77" s="5" t="str">
        <f t="shared" si="12"/>
        <v/>
      </c>
      <c r="Q77" s="19"/>
    </row>
    <row r="78" spans="1:17" ht="16.5" thickBot="1" x14ac:dyDescent="0.3">
      <c r="A78" s="7">
        <v>64</v>
      </c>
      <c r="B78" s="20"/>
      <c r="C78" s="20"/>
      <c r="D78" s="20"/>
      <c r="E78" s="20"/>
      <c r="F78" s="20"/>
      <c r="G78" s="20"/>
      <c r="H78" s="7" t="str">
        <f t="shared" si="6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30" t="str">
        <f t="shared" si="7"/>
        <v/>
      </c>
      <c r="L78" s="34" t="str">
        <f t="shared" si="8"/>
        <v/>
      </c>
      <c r="M78" s="7" t="str">
        <f t="shared" si="9"/>
        <v/>
      </c>
      <c r="N78" s="30" t="str">
        <f t="shared" si="10"/>
        <v/>
      </c>
      <c r="O78" s="34" t="str">
        <f t="shared" si="11"/>
        <v/>
      </c>
      <c r="P78" s="7" t="str">
        <f t="shared" si="12"/>
        <v/>
      </c>
      <c r="Q78" s="20"/>
    </row>
    <row r="79" spans="1:17" x14ac:dyDescent="0.25">
      <c r="A79" s="5">
        <v>65</v>
      </c>
      <c r="B79" s="19"/>
      <c r="C79" s="19"/>
      <c r="D79" s="19"/>
      <c r="E79" s="19"/>
      <c r="F79" s="19"/>
      <c r="G79" s="19"/>
      <c r="H79" s="5" t="str">
        <f t="shared" si="6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29" t="str">
        <f t="shared" ref="K79:K110" si="13">IF(ISBLANK(B79),"",INDEX(I7_Index_ID,I79))</f>
        <v/>
      </c>
      <c r="L79" s="33" t="str">
        <f t="shared" ref="L79:L110" si="14">IF(ISBLANK(B79),"",INDEX(row_order,H79))</f>
        <v/>
      </c>
      <c r="M79" s="5" t="str">
        <f t="shared" ref="M79:M110" si="15">IF(ISBLANK(B79),"",INDEX(I7_Index,MATCH(K79,I7_Index_ID,0)))</f>
        <v/>
      </c>
      <c r="N79" s="29" t="str">
        <f t="shared" ref="N79:N110" si="16">IF(ISBLANK(B79),"",INDEX(I5_Index_ID,J79))</f>
        <v/>
      </c>
      <c r="O79" s="33" t="str">
        <f t="shared" ref="O79:O110" si="17">IF(ISBLANK(B79),"",INDEX(column_order,H79))</f>
        <v/>
      </c>
      <c r="P79" s="5" t="str">
        <f t="shared" ref="P79:P110" si="18">IF(ISBLANK(B79),"",INDEX(I5_Index,MATCH(N79,I5_Index_ID,0)))</f>
        <v/>
      </c>
      <c r="Q79" s="19"/>
    </row>
    <row r="80" spans="1:17" x14ac:dyDescent="0.25">
      <c r="A80" s="5">
        <v>66</v>
      </c>
      <c r="B80" s="19"/>
      <c r="C80" s="19"/>
      <c r="D80" s="19"/>
      <c r="E80" s="19"/>
      <c r="F80" s="19"/>
      <c r="G80" s="19"/>
      <c r="H80" s="5" t="str">
        <f t="shared" si="6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29" t="str">
        <f t="shared" si="13"/>
        <v/>
      </c>
      <c r="L80" s="33" t="str">
        <f t="shared" si="14"/>
        <v/>
      </c>
      <c r="M80" s="5" t="str">
        <f t="shared" si="15"/>
        <v/>
      </c>
      <c r="N80" s="29" t="str">
        <f t="shared" si="16"/>
        <v/>
      </c>
      <c r="O80" s="33" t="str">
        <f t="shared" si="17"/>
        <v/>
      </c>
      <c r="P80" s="5" t="str">
        <f t="shared" si="18"/>
        <v/>
      </c>
      <c r="Q80" s="19"/>
    </row>
    <row r="81" spans="1:17" x14ac:dyDescent="0.25">
      <c r="A81" s="5">
        <v>67</v>
      </c>
      <c r="B81" s="19"/>
      <c r="C81" s="19"/>
      <c r="D81" s="19"/>
      <c r="E81" s="19"/>
      <c r="F81" s="19"/>
      <c r="G81" s="19"/>
      <c r="H81" s="5" t="str">
        <f t="shared" ref="H81:H110" si="19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29" t="str">
        <f t="shared" si="13"/>
        <v/>
      </c>
      <c r="L81" s="33" t="str">
        <f t="shared" si="14"/>
        <v/>
      </c>
      <c r="M81" s="5" t="str">
        <f t="shared" si="15"/>
        <v/>
      </c>
      <c r="N81" s="29" t="str">
        <f t="shared" si="16"/>
        <v/>
      </c>
      <c r="O81" s="33" t="str">
        <f t="shared" si="17"/>
        <v/>
      </c>
      <c r="P81" s="5" t="str">
        <f t="shared" si="18"/>
        <v/>
      </c>
      <c r="Q81" s="19"/>
    </row>
    <row r="82" spans="1:17" x14ac:dyDescent="0.25">
      <c r="A82" s="5">
        <v>68</v>
      </c>
      <c r="B82" s="19"/>
      <c r="C82" s="19"/>
      <c r="D82" s="19"/>
      <c r="E82" s="19"/>
      <c r="F82" s="19"/>
      <c r="G82" s="19"/>
      <c r="H82" s="5" t="str">
        <f t="shared" si="19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29" t="str">
        <f t="shared" si="13"/>
        <v/>
      </c>
      <c r="L82" s="33" t="str">
        <f t="shared" si="14"/>
        <v/>
      </c>
      <c r="M82" s="5" t="str">
        <f t="shared" si="15"/>
        <v/>
      </c>
      <c r="N82" s="29" t="str">
        <f t="shared" si="16"/>
        <v/>
      </c>
      <c r="O82" s="33" t="str">
        <f t="shared" si="17"/>
        <v/>
      </c>
      <c r="P82" s="5" t="str">
        <f t="shared" si="18"/>
        <v/>
      </c>
      <c r="Q82" s="19"/>
    </row>
    <row r="83" spans="1:17" x14ac:dyDescent="0.25">
      <c r="A83" s="5">
        <v>69</v>
      </c>
      <c r="B83" s="19"/>
      <c r="C83" s="19"/>
      <c r="D83" s="19"/>
      <c r="E83" s="19"/>
      <c r="F83" s="19"/>
      <c r="G83" s="19"/>
      <c r="H83" s="5" t="str">
        <f t="shared" si="19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29" t="str">
        <f t="shared" si="13"/>
        <v/>
      </c>
      <c r="L83" s="33" t="str">
        <f t="shared" si="14"/>
        <v/>
      </c>
      <c r="M83" s="5" t="str">
        <f t="shared" si="15"/>
        <v/>
      </c>
      <c r="N83" s="29" t="str">
        <f t="shared" si="16"/>
        <v/>
      </c>
      <c r="O83" s="33" t="str">
        <f t="shared" si="17"/>
        <v/>
      </c>
      <c r="P83" s="5" t="str">
        <f t="shared" si="18"/>
        <v/>
      </c>
      <c r="Q83" s="19"/>
    </row>
    <row r="84" spans="1:17" x14ac:dyDescent="0.25">
      <c r="A84" s="5">
        <v>70</v>
      </c>
      <c r="B84" s="19"/>
      <c r="C84" s="19"/>
      <c r="D84" s="19"/>
      <c r="E84" s="19"/>
      <c r="F84" s="19"/>
      <c r="G84" s="19"/>
      <c r="H84" s="5" t="str">
        <f t="shared" si="19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29" t="str">
        <f t="shared" si="13"/>
        <v/>
      </c>
      <c r="L84" s="33" t="str">
        <f t="shared" si="14"/>
        <v/>
      </c>
      <c r="M84" s="5" t="str">
        <f t="shared" si="15"/>
        <v/>
      </c>
      <c r="N84" s="29" t="str">
        <f t="shared" si="16"/>
        <v/>
      </c>
      <c r="O84" s="33" t="str">
        <f t="shared" si="17"/>
        <v/>
      </c>
      <c r="P84" s="5" t="str">
        <f t="shared" si="18"/>
        <v/>
      </c>
      <c r="Q84" s="19"/>
    </row>
    <row r="85" spans="1:17" x14ac:dyDescent="0.25">
      <c r="A85" s="5">
        <v>71</v>
      </c>
      <c r="B85" s="19"/>
      <c r="C85" s="19"/>
      <c r="D85" s="19"/>
      <c r="E85" s="19"/>
      <c r="F85" s="19"/>
      <c r="G85" s="19"/>
      <c r="H85" s="5" t="str">
        <f t="shared" si="19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29" t="str">
        <f t="shared" si="13"/>
        <v/>
      </c>
      <c r="L85" s="33" t="str">
        <f t="shared" si="14"/>
        <v/>
      </c>
      <c r="M85" s="5" t="str">
        <f t="shared" si="15"/>
        <v/>
      </c>
      <c r="N85" s="29" t="str">
        <f t="shared" si="16"/>
        <v/>
      </c>
      <c r="O85" s="33" t="str">
        <f t="shared" si="17"/>
        <v/>
      </c>
      <c r="P85" s="5" t="str">
        <f t="shared" si="18"/>
        <v/>
      </c>
      <c r="Q85" s="19"/>
    </row>
    <row r="86" spans="1:17" ht="16.5" thickBot="1" x14ac:dyDescent="0.3">
      <c r="A86" s="7">
        <v>72</v>
      </c>
      <c r="B86" s="20"/>
      <c r="C86" s="20"/>
      <c r="D86" s="20"/>
      <c r="E86" s="20"/>
      <c r="F86" s="20"/>
      <c r="G86" s="20"/>
      <c r="H86" s="7" t="str">
        <f t="shared" si="19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30" t="str">
        <f t="shared" si="13"/>
        <v/>
      </c>
      <c r="L86" s="34" t="str">
        <f t="shared" si="14"/>
        <v/>
      </c>
      <c r="M86" s="7" t="str">
        <f t="shared" si="15"/>
        <v/>
      </c>
      <c r="N86" s="30" t="str">
        <f t="shared" si="16"/>
        <v/>
      </c>
      <c r="O86" s="34" t="str">
        <f t="shared" si="17"/>
        <v/>
      </c>
      <c r="P86" s="7" t="str">
        <f t="shared" si="18"/>
        <v/>
      </c>
      <c r="Q86" s="20"/>
    </row>
    <row r="87" spans="1:17" x14ac:dyDescent="0.25">
      <c r="A87" s="5">
        <v>73</v>
      </c>
      <c r="B87" s="19"/>
      <c r="C87" s="19"/>
      <c r="D87" s="19"/>
      <c r="E87" s="19"/>
      <c r="F87" s="19"/>
      <c r="G87" s="19"/>
      <c r="H87" s="5" t="str">
        <f t="shared" si="19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29" t="str">
        <f t="shared" si="13"/>
        <v/>
      </c>
      <c r="L87" s="33" t="str">
        <f t="shared" si="14"/>
        <v/>
      </c>
      <c r="M87" s="5" t="str">
        <f t="shared" si="15"/>
        <v/>
      </c>
      <c r="N87" s="29" t="str">
        <f t="shared" si="16"/>
        <v/>
      </c>
      <c r="O87" s="33" t="str">
        <f t="shared" si="17"/>
        <v/>
      </c>
      <c r="P87" s="5" t="str">
        <f t="shared" si="18"/>
        <v/>
      </c>
      <c r="Q87" s="19"/>
    </row>
    <row r="88" spans="1:17" x14ac:dyDescent="0.25">
      <c r="A88" s="5">
        <v>74</v>
      </c>
      <c r="B88" s="19"/>
      <c r="C88" s="19"/>
      <c r="D88" s="19"/>
      <c r="E88" s="19"/>
      <c r="F88" s="19"/>
      <c r="G88" s="19"/>
      <c r="H88" s="5" t="str">
        <f t="shared" si="19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29" t="str">
        <f t="shared" si="13"/>
        <v/>
      </c>
      <c r="L88" s="33" t="str">
        <f t="shared" si="14"/>
        <v/>
      </c>
      <c r="M88" s="5" t="str">
        <f t="shared" si="15"/>
        <v/>
      </c>
      <c r="N88" s="29" t="str">
        <f t="shared" si="16"/>
        <v/>
      </c>
      <c r="O88" s="33" t="str">
        <f t="shared" si="17"/>
        <v/>
      </c>
      <c r="P88" s="5" t="str">
        <f t="shared" si="18"/>
        <v/>
      </c>
      <c r="Q88" s="19"/>
    </row>
    <row r="89" spans="1:17" x14ac:dyDescent="0.25">
      <c r="A89" s="5">
        <v>75</v>
      </c>
      <c r="B89" s="19"/>
      <c r="C89" s="19"/>
      <c r="D89" s="19"/>
      <c r="E89" s="19"/>
      <c r="F89" s="19"/>
      <c r="G89" s="19"/>
      <c r="H89" s="5" t="str">
        <f t="shared" si="19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29" t="str">
        <f t="shared" si="13"/>
        <v/>
      </c>
      <c r="L89" s="33" t="str">
        <f t="shared" si="14"/>
        <v/>
      </c>
      <c r="M89" s="5" t="str">
        <f t="shared" si="15"/>
        <v/>
      </c>
      <c r="N89" s="29" t="str">
        <f t="shared" si="16"/>
        <v/>
      </c>
      <c r="O89" s="33" t="str">
        <f t="shared" si="17"/>
        <v/>
      </c>
      <c r="P89" s="5" t="str">
        <f t="shared" si="18"/>
        <v/>
      </c>
      <c r="Q89" s="19"/>
    </row>
    <row r="90" spans="1:17" x14ac:dyDescent="0.25">
      <c r="A90" s="5">
        <v>76</v>
      </c>
      <c r="B90" s="19"/>
      <c r="C90" s="19"/>
      <c r="D90" s="19"/>
      <c r="E90" s="19"/>
      <c r="F90" s="19"/>
      <c r="G90" s="19"/>
      <c r="H90" s="5" t="str">
        <f t="shared" si="19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29" t="str">
        <f t="shared" si="13"/>
        <v/>
      </c>
      <c r="L90" s="33" t="str">
        <f t="shared" si="14"/>
        <v/>
      </c>
      <c r="M90" s="5" t="str">
        <f t="shared" si="15"/>
        <v/>
      </c>
      <c r="N90" s="29" t="str">
        <f t="shared" si="16"/>
        <v/>
      </c>
      <c r="O90" s="33" t="str">
        <f t="shared" si="17"/>
        <v/>
      </c>
      <c r="P90" s="5" t="str">
        <f t="shared" si="18"/>
        <v/>
      </c>
      <c r="Q90" s="19"/>
    </row>
    <row r="91" spans="1:17" x14ac:dyDescent="0.25">
      <c r="A91" s="5">
        <v>77</v>
      </c>
      <c r="B91" s="19"/>
      <c r="C91" s="19"/>
      <c r="D91" s="19"/>
      <c r="E91" s="19"/>
      <c r="F91" s="19"/>
      <c r="G91" s="19"/>
      <c r="H91" s="5" t="str">
        <f t="shared" si="19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29" t="str">
        <f t="shared" si="13"/>
        <v/>
      </c>
      <c r="L91" s="33" t="str">
        <f t="shared" si="14"/>
        <v/>
      </c>
      <c r="M91" s="5" t="str">
        <f t="shared" si="15"/>
        <v/>
      </c>
      <c r="N91" s="29" t="str">
        <f t="shared" si="16"/>
        <v/>
      </c>
      <c r="O91" s="33" t="str">
        <f t="shared" si="17"/>
        <v/>
      </c>
      <c r="P91" s="5" t="str">
        <f t="shared" si="18"/>
        <v/>
      </c>
      <c r="Q91" s="19"/>
    </row>
    <row r="92" spans="1:17" x14ac:dyDescent="0.25">
      <c r="A92" s="5">
        <v>78</v>
      </c>
      <c r="B92" s="19"/>
      <c r="C92" s="19"/>
      <c r="D92" s="19"/>
      <c r="E92" s="19"/>
      <c r="F92" s="19"/>
      <c r="G92" s="19"/>
      <c r="H92" s="5" t="str">
        <f t="shared" si="19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29" t="str">
        <f t="shared" si="13"/>
        <v/>
      </c>
      <c r="L92" s="33" t="str">
        <f t="shared" si="14"/>
        <v/>
      </c>
      <c r="M92" s="5" t="str">
        <f t="shared" si="15"/>
        <v/>
      </c>
      <c r="N92" s="29" t="str">
        <f t="shared" si="16"/>
        <v/>
      </c>
      <c r="O92" s="33" t="str">
        <f t="shared" si="17"/>
        <v/>
      </c>
      <c r="P92" s="5" t="str">
        <f t="shared" si="18"/>
        <v/>
      </c>
      <c r="Q92" s="19"/>
    </row>
    <row r="93" spans="1:17" x14ac:dyDescent="0.25">
      <c r="A93" s="5">
        <v>79</v>
      </c>
      <c r="B93" s="19"/>
      <c r="C93" s="19"/>
      <c r="D93" s="19"/>
      <c r="E93" s="19"/>
      <c r="F93" s="19"/>
      <c r="G93" s="19"/>
      <c r="H93" s="5" t="str">
        <f t="shared" si="19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29" t="str">
        <f t="shared" si="13"/>
        <v/>
      </c>
      <c r="L93" s="33" t="str">
        <f t="shared" si="14"/>
        <v/>
      </c>
      <c r="M93" s="5" t="str">
        <f t="shared" si="15"/>
        <v/>
      </c>
      <c r="N93" s="29" t="str">
        <f t="shared" si="16"/>
        <v/>
      </c>
      <c r="O93" s="33" t="str">
        <f t="shared" si="17"/>
        <v/>
      </c>
      <c r="P93" s="5" t="str">
        <f t="shared" si="18"/>
        <v/>
      </c>
      <c r="Q93" s="19"/>
    </row>
    <row r="94" spans="1:17" ht="16.5" thickBot="1" x14ac:dyDescent="0.3">
      <c r="A94" s="7">
        <v>80</v>
      </c>
      <c r="B94" s="20"/>
      <c r="C94" s="20"/>
      <c r="D94" s="20"/>
      <c r="E94" s="20"/>
      <c r="F94" s="20"/>
      <c r="G94" s="20"/>
      <c r="H94" s="7" t="str">
        <f t="shared" si="19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30" t="str">
        <f t="shared" si="13"/>
        <v/>
      </c>
      <c r="L94" s="34" t="str">
        <f t="shared" si="14"/>
        <v/>
      </c>
      <c r="M94" s="7" t="str">
        <f t="shared" si="15"/>
        <v/>
      </c>
      <c r="N94" s="30" t="str">
        <f t="shared" si="16"/>
        <v/>
      </c>
      <c r="O94" s="34" t="str">
        <f t="shared" si="17"/>
        <v/>
      </c>
      <c r="P94" s="7" t="str">
        <f t="shared" si="18"/>
        <v/>
      </c>
      <c r="Q94" s="20"/>
    </row>
    <row r="95" spans="1:17" x14ac:dyDescent="0.25">
      <c r="A95" s="5">
        <v>81</v>
      </c>
      <c r="B95" s="19"/>
      <c r="C95" s="19"/>
      <c r="D95" s="19"/>
      <c r="E95" s="19"/>
      <c r="F95" s="19"/>
      <c r="G95" s="19"/>
      <c r="H95" s="5" t="str">
        <f t="shared" si="19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29" t="str">
        <f t="shared" si="13"/>
        <v/>
      </c>
      <c r="L95" s="33" t="str">
        <f t="shared" si="14"/>
        <v/>
      </c>
      <c r="M95" s="5" t="str">
        <f t="shared" si="15"/>
        <v/>
      </c>
      <c r="N95" s="29" t="str">
        <f t="shared" si="16"/>
        <v/>
      </c>
      <c r="O95" s="33" t="str">
        <f t="shared" si="17"/>
        <v/>
      </c>
      <c r="P95" s="5" t="str">
        <f t="shared" si="18"/>
        <v/>
      </c>
      <c r="Q95" s="19"/>
    </row>
    <row r="96" spans="1:17" x14ac:dyDescent="0.25">
      <c r="A96" s="5">
        <v>82</v>
      </c>
      <c r="B96" s="19"/>
      <c r="C96" s="19"/>
      <c r="D96" s="19"/>
      <c r="E96" s="19"/>
      <c r="F96" s="19"/>
      <c r="G96" s="19"/>
      <c r="H96" s="5" t="str">
        <f t="shared" si="19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29" t="str">
        <f t="shared" si="13"/>
        <v/>
      </c>
      <c r="L96" s="33" t="str">
        <f t="shared" si="14"/>
        <v/>
      </c>
      <c r="M96" s="5" t="str">
        <f t="shared" si="15"/>
        <v/>
      </c>
      <c r="N96" s="29" t="str">
        <f t="shared" si="16"/>
        <v/>
      </c>
      <c r="O96" s="33" t="str">
        <f t="shared" si="17"/>
        <v/>
      </c>
      <c r="P96" s="5" t="str">
        <f t="shared" si="18"/>
        <v/>
      </c>
      <c r="Q96" s="19"/>
    </row>
    <row r="97" spans="1:17" x14ac:dyDescent="0.25">
      <c r="A97" s="5">
        <v>83</v>
      </c>
      <c r="B97" s="19"/>
      <c r="C97" s="19"/>
      <c r="D97" s="19"/>
      <c r="E97" s="19"/>
      <c r="F97" s="19"/>
      <c r="G97" s="19"/>
      <c r="H97" s="5" t="str">
        <f t="shared" si="19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29" t="str">
        <f t="shared" si="13"/>
        <v/>
      </c>
      <c r="L97" s="33" t="str">
        <f t="shared" si="14"/>
        <v/>
      </c>
      <c r="M97" s="5" t="str">
        <f t="shared" si="15"/>
        <v/>
      </c>
      <c r="N97" s="29" t="str">
        <f t="shared" si="16"/>
        <v/>
      </c>
      <c r="O97" s="33" t="str">
        <f t="shared" si="17"/>
        <v/>
      </c>
      <c r="P97" s="5" t="str">
        <f t="shared" si="18"/>
        <v/>
      </c>
      <c r="Q97" s="19"/>
    </row>
    <row r="98" spans="1:17" x14ac:dyDescent="0.25">
      <c r="A98" s="5">
        <v>84</v>
      </c>
      <c r="B98" s="19"/>
      <c r="C98" s="19"/>
      <c r="D98" s="19"/>
      <c r="E98" s="19"/>
      <c r="F98" s="19"/>
      <c r="G98" s="19"/>
      <c r="H98" s="5" t="str">
        <f t="shared" si="19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29" t="str">
        <f t="shared" si="13"/>
        <v/>
      </c>
      <c r="L98" s="33" t="str">
        <f t="shared" si="14"/>
        <v/>
      </c>
      <c r="M98" s="5" t="str">
        <f t="shared" si="15"/>
        <v/>
      </c>
      <c r="N98" s="29" t="str">
        <f t="shared" si="16"/>
        <v/>
      </c>
      <c r="O98" s="33" t="str">
        <f t="shared" si="17"/>
        <v/>
      </c>
      <c r="P98" s="5" t="str">
        <f t="shared" si="18"/>
        <v/>
      </c>
      <c r="Q98" s="19"/>
    </row>
    <row r="99" spans="1:17" x14ac:dyDescent="0.25">
      <c r="A99" s="5">
        <v>85</v>
      </c>
      <c r="B99" s="19"/>
      <c r="C99" s="19"/>
      <c r="D99" s="19"/>
      <c r="E99" s="19"/>
      <c r="F99" s="19"/>
      <c r="G99" s="19"/>
      <c r="H99" s="5" t="str">
        <f t="shared" si="19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29" t="str">
        <f t="shared" si="13"/>
        <v/>
      </c>
      <c r="L99" s="33" t="str">
        <f t="shared" si="14"/>
        <v/>
      </c>
      <c r="M99" s="5" t="str">
        <f t="shared" si="15"/>
        <v/>
      </c>
      <c r="N99" s="29" t="str">
        <f t="shared" si="16"/>
        <v/>
      </c>
      <c r="O99" s="33" t="str">
        <f t="shared" si="17"/>
        <v/>
      </c>
      <c r="P99" s="5" t="str">
        <f t="shared" si="18"/>
        <v/>
      </c>
      <c r="Q99" s="19"/>
    </row>
    <row r="100" spans="1:17" x14ac:dyDescent="0.25">
      <c r="A100" s="5">
        <v>86</v>
      </c>
      <c r="B100" s="19"/>
      <c r="C100" s="19"/>
      <c r="D100" s="19"/>
      <c r="E100" s="19"/>
      <c r="F100" s="19"/>
      <c r="G100" s="19"/>
      <c r="H100" s="5" t="str">
        <f t="shared" si="19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29" t="str">
        <f t="shared" si="13"/>
        <v/>
      </c>
      <c r="L100" s="33" t="str">
        <f t="shared" si="14"/>
        <v/>
      </c>
      <c r="M100" s="5" t="str">
        <f t="shared" si="15"/>
        <v/>
      </c>
      <c r="N100" s="29" t="str">
        <f t="shared" si="16"/>
        <v/>
      </c>
      <c r="O100" s="33" t="str">
        <f t="shared" si="17"/>
        <v/>
      </c>
      <c r="P100" s="5" t="str">
        <f t="shared" si="18"/>
        <v/>
      </c>
      <c r="Q100" s="19"/>
    </row>
    <row r="101" spans="1:17" x14ac:dyDescent="0.25">
      <c r="A101" s="5">
        <v>87</v>
      </c>
      <c r="B101" s="19"/>
      <c r="C101" s="19"/>
      <c r="D101" s="19"/>
      <c r="E101" s="19"/>
      <c r="F101" s="19"/>
      <c r="G101" s="19"/>
      <c r="H101" s="5" t="str">
        <f t="shared" si="19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29" t="str">
        <f t="shared" si="13"/>
        <v/>
      </c>
      <c r="L101" s="33" t="str">
        <f t="shared" si="14"/>
        <v/>
      </c>
      <c r="M101" s="5" t="str">
        <f t="shared" si="15"/>
        <v/>
      </c>
      <c r="N101" s="29" t="str">
        <f t="shared" si="16"/>
        <v/>
      </c>
      <c r="O101" s="33" t="str">
        <f t="shared" si="17"/>
        <v/>
      </c>
      <c r="P101" s="5" t="str">
        <f t="shared" si="18"/>
        <v/>
      </c>
      <c r="Q101" s="19"/>
    </row>
    <row r="102" spans="1:17" ht="16.5" thickBot="1" x14ac:dyDescent="0.3">
      <c r="A102" s="7">
        <v>88</v>
      </c>
      <c r="B102" s="20"/>
      <c r="C102" s="20"/>
      <c r="D102" s="20"/>
      <c r="E102" s="20"/>
      <c r="F102" s="20"/>
      <c r="G102" s="20"/>
      <c r="H102" s="7" t="str">
        <f t="shared" si="19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30" t="str">
        <f t="shared" si="13"/>
        <v/>
      </c>
      <c r="L102" s="34" t="str">
        <f t="shared" si="14"/>
        <v/>
      </c>
      <c r="M102" s="7" t="str">
        <f t="shared" si="15"/>
        <v/>
      </c>
      <c r="N102" s="30" t="str">
        <f t="shared" si="16"/>
        <v/>
      </c>
      <c r="O102" s="34" t="str">
        <f t="shared" si="17"/>
        <v/>
      </c>
      <c r="P102" s="7" t="str">
        <f t="shared" si="18"/>
        <v/>
      </c>
      <c r="Q102" s="20"/>
    </row>
    <row r="103" spans="1:17" x14ac:dyDescent="0.25">
      <c r="A103" s="5">
        <v>89</v>
      </c>
      <c r="B103" s="19"/>
      <c r="C103" s="19"/>
      <c r="D103" s="19"/>
      <c r="E103" s="19"/>
      <c r="F103" s="19"/>
      <c r="G103" s="19"/>
      <c r="H103" s="5" t="str">
        <f t="shared" si="19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29" t="str">
        <f t="shared" si="13"/>
        <v/>
      </c>
      <c r="L103" s="33" t="str">
        <f t="shared" si="14"/>
        <v/>
      </c>
      <c r="M103" s="5" t="str">
        <f t="shared" si="15"/>
        <v/>
      </c>
      <c r="N103" s="29" t="str">
        <f t="shared" si="16"/>
        <v/>
      </c>
      <c r="O103" s="33" t="str">
        <f t="shared" si="17"/>
        <v/>
      </c>
      <c r="P103" s="5" t="str">
        <f t="shared" si="18"/>
        <v/>
      </c>
      <c r="Q103" s="19"/>
    </row>
    <row r="104" spans="1:17" x14ac:dyDescent="0.25">
      <c r="A104" s="5">
        <v>90</v>
      </c>
      <c r="B104" s="19"/>
      <c r="C104" s="19"/>
      <c r="D104" s="19"/>
      <c r="E104" s="19"/>
      <c r="F104" s="19"/>
      <c r="G104" s="19"/>
      <c r="H104" s="5" t="str">
        <f t="shared" si="19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29" t="str">
        <f t="shared" si="13"/>
        <v/>
      </c>
      <c r="L104" s="33" t="str">
        <f t="shared" si="14"/>
        <v/>
      </c>
      <c r="M104" s="5" t="str">
        <f t="shared" si="15"/>
        <v/>
      </c>
      <c r="N104" s="29" t="str">
        <f t="shared" si="16"/>
        <v/>
      </c>
      <c r="O104" s="33" t="str">
        <f t="shared" si="17"/>
        <v/>
      </c>
      <c r="P104" s="5" t="str">
        <f t="shared" si="18"/>
        <v/>
      </c>
      <c r="Q104" s="19"/>
    </row>
    <row r="105" spans="1:17" x14ac:dyDescent="0.25">
      <c r="A105" s="5">
        <v>91</v>
      </c>
      <c r="B105" s="19"/>
      <c r="C105" s="19"/>
      <c r="D105" s="19"/>
      <c r="E105" s="19"/>
      <c r="F105" s="19"/>
      <c r="G105" s="19"/>
      <c r="H105" s="5" t="str">
        <f t="shared" si="19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29" t="str">
        <f t="shared" si="13"/>
        <v/>
      </c>
      <c r="L105" s="33" t="str">
        <f t="shared" si="14"/>
        <v/>
      </c>
      <c r="M105" s="5" t="str">
        <f t="shared" si="15"/>
        <v/>
      </c>
      <c r="N105" s="29" t="str">
        <f t="shared" si="16"/>
        <v/>
      </c>
      <c r="O105" s="33" t="str">
        <f t="shared" si="17"/>
        <v/>
      </c>
      <c r="P105" s="5" t="str">
        <f t="shared" si="18"/>
        <v/>
      </c>
      <c r="Q105" s="19"/>
    </row>
    <row r="106" spans="1:17" x14ac:dyDescent="0.25">
      <c r="A106" s="5">
        <v>92</v>
      </c>
      <c r="B106" s="19"/>
      <c r="C106" s="19"/>
      <c r="D106" s="19"/>
      <c r="E106" s="19"/>
      <c r="F106" s="19"/>
      <c r="G106" s="19"/>
      <c r="H106" s="5" t="str">
        <f t="shared" si="19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29" t="str">
        <f t="shared" si="13"/>
        <v/>
      </c>
      <c r="L106" s="33" t="str">
        <f t="shared" si="14"/>
        <v/>
      </c>
      <c r="M106" s="5" t="str">
        <f t="shared" si="15"/>
        <v/>
      </c>
      <c r="N106" s="29" t="str">
        <f t="shared" si="16"/>
        <v/>
      </c>
      <c r="O106" s="33" t="str">
        <f t="shared" si="17"/>
        <v/>
      </c>
      <c r="P106" s="5" t="str">
        <f t="shared" si="18"/>
        <v/>
      </c>
      <c r="Q106" s="19"/>
    </row>
    <row r="107" spans="1:17" x14ac:dyDescent="0.25">
      <c r="A107" s="5">
        <v>93</v>
      </c>
      <c r="B107" s="19"/>
      <c r="C107" s="19"/>
      <c r="D107" s="19"/>
      <c r="E107" s="19"/>
      <c r="F107" s="19"/>
      <c r="G107" s="19"/>
      <c r="H107" s="5" t="str">
        <f t="shared" si="19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29" t="str">
        <f t="shared" si="13"/>
        <v/>
      </c>
      <c r="L107" s="33" t="str">
        <f t="shared" si="14"/>
        <v/>
      </c>
      <c r="M107" s="5" t="str">
        <f t="shared" si="15"/>
        <v/>
      </c>
      <c r="N107" s="29" t="str">
        <f t="shared" si="16"/>
        <v/>
      </c>
      <c r="O107" s="33" t="str">
        <f t="shared" si="17"/>
        <v/>
      </c>
      <c r="P107" s="5" t="str">
        <f t="shared" si="18"/>
        <v/>
      </c>
      <c r="Q107" s="19"/>
    </row>
    <row r="108" spans="1:17" x14ac:dyDescent="0.25">
      <c r="A108" s="5">
        <v>94</v>
      </c>
      <c r="B108" s="19"/>
      <c r="C108" s="19"/>
      <c r="D108" s="19"/>
      <c r="E108" s="19"/>
      <c r="F108" s="19"/>
      <c r="G108" s="19"/>
      <c r="H108" s="5" t="str">
        <f t="shared" si="19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29" t="str">
        <f t="shared" si="13"/>
        <v/>
      </c>
      <c r="L108" s="33" t="str">
        <f t="shared" si="14"/>
        <v/>
      </c>
      <c r="M108" s="5" t="str">
        <f t="shared" si="15"/>
        <v/>
      </c>
      <c r="N108" s="29" t="str">
        <f t="shared" si="16"/>
        <v/>
      </c>
      <c r="O108" s="33" t="str">
        <f t="shared" si="17"/>
        <v/>
      </c>
      <c r="P108" s="5" t="str">
        <f t="shared" si="18"/>
        <v/>
      </c>
      <c r="Q108" s="19"/>
    </row>
    <row r="109" spans="1:17" x14ac:dyDescent="0.25">
      <c r="A109" s="5">
        <v>95</v>
      </c>
      <c r="B109" s="19"/>
      <c r="C109" s="19"/>
      <c r="D109" s="19"/>
      <c r="E109" s="19"/>
      <c r="F109" s="19"/>
      <c r="G109" s="19"/>
      <c r="H109" s="5" t="str">
        <f t="shared" si="19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29" t="str">
        <f t="shared" si="13"/>
        <v/>
      </c>
      <c r="L109" s="33" t="str">
        <f t="shared" si="14"/>
        <v/>
      </c>
      <c r="M109" s="5" t="str">
        <f t="shared" si="15"/>
        <v/>
      </c>
      <c r="N109" s="29" t="str">
        <f t="shared" si="16"/>
        <v/>
      </c>
      <c r="O109" s="33" t="str">
        <f t="shared" si="17"/>
        <v/>
      </c>
      <c r="P109" s="5" t="str">
        <f t="shared" si="18"/>
        <v/>
      </c>
      <c r="Q109" s="19"/>
    </row>
    <row r="110" spans="1:17" ht="16.5" thickBot="1" x14ac:dyDescent="0.3">
      <c r="A110" s="7">
        <v>96</v>
      </c>
      <c r="B110" s="20"/>
      <c r="C110" s="20"/>
      <c r="D110" s="20"/>
      <c r="E110" s="20"/>
      <c r="F110" s="20"/>
      <c r="G110" s="20"/>
      <c r="H110" s="7" t="str">
        <f t="shared" si="19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30" t="str">
        <f t="shared" si="13"/>
        <v/>
      </c>
      <c r="L110" s="34" t="str">
        <f t="shared" si="14"/>
        <v/>
      </c>
      <c r="M110" s="7" t="str">
        <f t="shared" si="15"/>
        <v/>
      </c>
      <c r="N110" s="30" t="str">
        <f t="shared" si="16"/>
        <v/>
      </c>
      <c r="O110" s="34" t="str">
        <f t="shared" si="17"/>
        <v/>
      </c>
      <c r="P110" s="7" t="str">
        <f t="shared" si="18"/>
        <v/>
      </c>
      <c r="Q110" s="20"/>
    </row>
  </sheetData>
  <sheetProtection sheet="1" objects="1" scenarios="1"/>
  <phoneticPr fontId="2" type="noConversion"/>
  <dataValidations count="15">
    <dataValidation type="list" allowBlank="1" showInputMessage="1" showErrorMessage="1" errorTitle="I7_Index_ID ungültig" error="Stelle sicher, dass eine gültige I7_Index_ID aus der Dropdown-Liste ausgewählt wurde." sqref="L11">
      <formula1>row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column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Q15:Q110">
      <formula1>JaNein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41</v>
      </c>
      <c r="B1" s="2" t="s">
        <v>23</v>
      </c>
      <c r="C1" s="2" t="s">
        <v>64</v>
      </c>
    </row>
    <row r="2" spans="1:3" x14ac:dyDescent="0.25">
      <c r="A2" s="4">
        <v>1</v>
      </c>
      <c r="B2" s="26" t="s">
        <v>114</v>
      </c>
      <c r="C2" s="26" t="s">
        <v>28</v>
      </c>
    </row>
    <row r="3" spans="1:3" x14ac:dyDescent="0.25">
      <c r="A3" s="4">
        <v>2</v>
      </c>
      <c r="B3" s="26" t="s">
        <v>115</v>
      </c>
      <c r="C3" s="26" t="s">
        <v>29</v>
      </c>
    </row>
    <row r="4" spans="1:3" x14ac:dyDescent="0.25">
      <c r="A4" s="4">
        <v>3</v>
      </c>
      <c r="B4" s="26" t="s">
        <v>116</v>
      </c>
      <c r="C4" s="26" t="s">
        <v>30</v>
      </c>
    </row>
    <row r="5" spans="1:3" x14ac:dyDescent="0.25">
      <c r="A5" s="4">
        <v>4</v>
      </c>
      <c r="B5" s="26" t="s">
        <v>117</v>
      </c>
      <c r="C5" s="26" t="s">
        <v>31</v>
      </c>
    </row>
    <row r="6" spans="1:3" x14ac:dyDescent="0.25">
      <c r="A6" s="4">
        <v>5</v>
      </c>
      <c r="B6" s="26" t="s">
        <v>118</v>
      </c>
      <c r="C6" s="26" t="s">
        <v>34</v>
      </c>
    </row>
    <row r="7" spans="1:3" x14ac:dyDescent="0.25">
      <c r="A7" s="4">
        <v>6</v>
      </c>
      <c r="B7" s="26" t="s">
        <v>119</v>
      </c>
      <c r="C7" s="26" t="s">
        <v>32</v>
      </c>
    </row>
    <row r="8" spans="1:3" x14ac:dyDescent="0.25">
      <c r="A8" s="4">
        <v>7</v>
      </c>
      <c r="B8" s="26" t="s">
        <v>120</v>
      </c>
      <c r="C8" s="26" t="s">
        <v>33</v>
      </c>
    </row>
    <row r="9" spans="1:3" x14ac:dyDescent="0.25">
      <c r="A9" s="4">
        <v>8</v>
      </c>
      <c r="B9" s="26" t="s">
        <v>121</v>
      </c>
      <c r="C9" s="26" t="s">
        <v>35</v>
      </c>
    </row>
    <row r="10" spans="1:3" x14ac:dyDescent="0.25">
      <c r="A10" s="4">
        <v>9</v>
      </c>
      <c r="B10" s="26" t="s">
        <v>122</v>
      </c>
      <c r="C10" s="26" t="s">
        <v>36</v>
      </c>
    </row>
    <row r="11" spans="1:3" x14ac:dyDescent="0.25">
      <c r="A11" s="4">
        <v>10</v>
      </c>
      <c r="B11" s="26" t="s">
        <v>123</v>
      </c>
      <c r="C11" s="26" t="s">
        <v>124</v>
      </c>
    </row>
    <row r="12" spans="1:3" x14ac:dyDescent="0.25">
      <c r="A12" s="4">
        <v>11</v>
      </c>
      <c r="B12" s="26" t="s">
        <v>125</v>
      </c>
      <c r="C12" s="26" t="s">
        <v>126</v>
      </c>
    </row>
    <row r="13" spans="1:3" x14ac:dyDescent="0.25">
      <c r="A13" s="4">
        <v>12</v>
      </c>
      <c r="B13" s="26" t="s">
        <v>127</v>
      </c>
      <c r="C13" s="26" t="s">
        <v>128</v>
      </c>
    </row>
    <row r="14" spans="1:3" x14ac:dyDescent="0.25">
      <c r="A14" s="3" t="s">
        <v>0</v>
      </c>
      <c r="B14" s="2" t="s">
        <v>25</v>
      </c>
      <c r="C14" s="2" t="s">
        <v>65</v>
      </c>
    </row>
    <row r="15" spans="1:3" x14ac:dyDescent="0.25">
      <c r="A15" s="4">
        <v>1</v>
      </c>
      <c r="B15" s="27" t="s">
        <v>129</v>
      </c>
      <c r="C15" s="27" t="s">
        <v>38</v>
      </c>
    </row>
    <row r="16" spans="1:3" x14ac:dyDescent="0.25">
      <c r="A16" s="4">
        <v>2</v>
      </c>
      <c r="B16" s="27" t="s">
        <v>130</v>
      </c>
      <c r="C16" s="27" t="s">
        <v>39</v>
      </c>
    </row>
    <row r="17" spans="1:3" x14ac:dyDescent="0.25">
      <c r="A17" s="4">
        <v>3</v>
      </c>
      <c r="B17" s="27" t="s">
        <v>131</v>
      </c>
      <c r="C17" s="27" t="s">
        <v>40</v>
      </c>
    </row>
    <row r="18" spans="1:3" x14ac:dyDescent="0.25">
      <c r="A18" s="4">
        <v>4</v>
      </c>
      <c r="B18" s="27" t="s">
        <v>132</v>
      </c>
      <c r="C18" s="27" t="s">
        <v>133</v>
      </c>
    </row>
    <row r="19" spans="1:3" x14ac:dyDescent="0.25">
      <c r="A19" s="4">
        <v>5</v>
      </c>
      <c r="B19" s="27" t="s">
        <v>134</v>
      </c>
      <c r="C19" s="27" t="s">
        <v>135</v>
      </c>
    </row>
    <row r="20" spans="1:3" x14ac:dyDescent="0.25">
      <c r="A20" s="4">
        <v>6</v>
      </c>
      <c r="B20" s="27" t="s">
        <v>136</v>
      </c>
      <c r="C20" s="27" t="s">
        <v>137</v>
      </c>
    </row>
    <row r="21" spans="1:3" x14ac:dyDescent="0.25">
      <c r="A21" s="4">
        <v>7</v>
      </c>
      <c r="B21" s="27" t="s">
        <v>138</v>
      </c>
      <c r="C21" s="27" t="s">
        <v>37</v>
      </c>
    </row>
    <row r="22" spans="1:3" x14ac:dyDescent="0.25">
      <c r="A22" s="4">
        <v>8</v>
      </c>
      <c r="B22" s="27" t="s">
        <v>139</v>
      </c>
      <c r="C22" s="27" t="s">
        <v>140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7"/>
  <sheetViews>
    <sheetView workbookViewId="0"/>
  </sheetViews>
  <sheetFormatPr defaultColWidth="11" defaultRowHeight="15.75" x14ac:dyDescent="0.25"/>
  <cols>
    <col min="5" max="5" width="11" bestFit="1" customWidth="1"/>
  </cols>
  <sheetData>
    <row r="1" spans="1:8" x14ac:dyDescent="0.25">
      <c r="A1" s="1" t="s">
        <v>54</v>
      </c>
      <c r="B1" s="1" t="s">
        <v>60</v>
      </c>
      <c r="C1" s="1" t="s">
        <v>61</v>
      </c>
      <c r="D1" s="1" t="s">
        <v>62</v>
      </c>
      <c r="E1" s="6" t="s">
        <v>63</v>
      </c>
      <c r="F1" s="1" t="s">
        <v>143</v>
      </c>
      <c r="G1" s="1" t="s">
        <v>144</v>
      </c>
      <c r="H1" s="1" t="s">
        <v>155</v>
      </c>
    </row>
    <row r="2" spans="1:8" x14ac:dyDescent="0.25">
      <c r="A2">
        <v>1</v>
      </c>
      <c r="B2">
        <v>1</v>
      </c>
      <c r="C2">
        <v>2</v>
      </c>
      <c r="D2" s="1" t="str">
        <f t="shared" ref="D2:D33" si="0">B2&amp;";"&amp;C2</f>
        <v>1;2</v>
      </c>
      <c r="E2" t="str">
        <f>IF('Sample Namen'!J$11=H2,A2,"")</f>
        <v/>
      </c>
      <c r="F2" t="s">
        <v>145</v>
      </c>
      <c r="G2">
        <v>1</v>
      </c>
      <c r="H2" t="str">
        <f>F2&amp;";"&amp;G2</f>
        <v>A;1</v>
      </c>
    </row>
    <row r="3" spans="1:8" x14ac:dyDescent="0.25">
      <c r="A3">
        <v>2</v>
      </c>
      <c r="B3">
        <v>2</v>
      </c>
      <c r="C3">
        <v>7</v>
      </c>
      <c r="D3" s="1" t="str">
        <f t="shared" si="0"/>
        <v>2;7</v>
      </c>
      <c r="E3" s="27" t="str">
        <f>IF('Sample Namen'!J$11=H3,A3,"")</f>
        <v/>
      </c>
      <c r="F3" s="27" t="s">
        <v>146</v>
      </c>
      <c r="G3" s="27">
        <v>1</v>
      </c>
      <c r="H3" s="27" t="str">
        <f t="shared" ref="H3:H66" si="1">F3&amp;";"&amp;G3</f>
        <v>B;1</v>
      </c>
    </row>
    <row r="4" spans="1:8" x14ac:dyDescent="0.25">
      <c r="A4">
        <v>3</v>
      </c>
      <c r="B4">
        <v>3</v>
      </c>
      <c r="C4">
        <v>3</v>
      </c>
      <c r="D4" s="1" t="str">
        <f t="shared" si="0"/>
        <v>3;3</v>
      </c>
      <c r="E4" s="27" t="str">
        <f>IF('Sample Namen'!J$11=H4,A4,"")</f>
        <v/>
      </c>
      <c r="F4" t="s">
        <v>147</v>
      </c>
      <c r="G4" s="27">
        <v>1</v>
      </c>
      <c r="H4" s="27" t="str">
        <f t="shared" si="1"/>
        <v>C;1</v>
      </c>
    </row>
    <row r="5" spans="1:8" x14ac:dyDescent="0.25">
      <c r="A5">
        <v>4</v>
      </c>
      <c r="B5">
        <v>4</v>
      </c>
      <c r="C5">
        <v>1</v>
      </c>
      <c r="D5" s="1" t="str">
        <f t="shared" si="0"/>
        <v>4;1</v>
      </c>
      <c r="E5" s="27" t="str">
        <f>IF('Sample Namen'!J$11=H5,A5,"")</f>
        <v/>
      </c>
      <c r="F5" t="s">
        <v>148</v>
      </c>
      <c r="G5" s="27">
        <v>1</v>
      </c>
      <c r="H5" s="27" t="str">
        <f t="shared" si="1"/>
        <v>D;1</v>
      </c>
    </row>
    <row r="6" spans="1:8" x14ac:dyDescent="0.25">
      <c r="A6">
        <v>5</v>
      </c>
      <c r="B6">
        <v>5</v>
      </c>
      <c r="C6">
        <v>6</v>
      </c>
      <c r="D6" s="1" t="str">
        <f t="shared" si="0"/>
        <v>5;6</v>
      </c>
      <c r="E6" s="27" t="str">
        <f>IF('Sample Namen'!J$11=H6,A6,"")</f>
        <v/>
      </c>
      <c r="F6" t="s">
        <v>149</v>
      </c>
      <c r="G6" s="27">
        <v>1</v>
      </c>
      <c r="H6" s="27" t="str">
        <f t="shared" si="1"/>
        <v>E;1</v>
      </c>
    </row>
    <row r="7" spans="1:8" x14ac:dyDescent="0.25">
      <c r="A7">
        <v>6</v>
      </c>
      <c r="B7">
        <v>7</v>
      </c>
      <c r="C7">
        <v>8</v>
      </c>
      <c r="D7" s="1" t="str">
        <f t="shared" si="0"/>
        <v>7;8</v>
      </c>
      <c r="E7" s="27" t="str">
        <f>IF('Sample Namen'!J$11=H7,A7,"")</f>
        <v/>
      </c>
      <c r="F7" t="s">
        <v>150</v>
      </c>
      <c r="G7" s="27">
        <v>1</v>
      </c>
      <c r="H7" s="27" t="str">
        <f t="shared" si="1"/>
        <v>F;1</v>
      </c>
    </row>
    <row r="8" spans="1:8" x14ac:dyDescent="0.25">
      <c r="A8">
        <v>7</v>
      </c>
      <c r="B8">
        <v>8</v>
      </c>
      <c r="C8">
        <v>5</v>
      </c>
      <c r="D8" s="1" t="str">
        <f t="shared" si="0"/>
        <v>8;5</v>
      </c>
      <c r="E8" s="27" t="str">
        <f>IF('Sample Namen'!J$11=H8,A8,"")</f>
        <v/>
      </c>
      <c r="F8" t="s">
        <v>151</v>
      </c>
      <c r="G8" s="27">
        <v>1</v>
      </c>
      <c r="H8" s="27" t="str">
        <f t="shared" si="1"/>
        <v>G;1</v>
      </c>
    </row>
    <row r="9" spans="1:8" x14ac:dyDescent="0.25">
      <c r="A9">
        <v>8</v>
      </c>
      <c r="B9">
        <v>10</v>
      </c>
      <c r="C9">
        <v>4</v>
      </c>
      <c r="D9" s="1" t="str">
        <f t="shared" si="0"/>
        <v>10;4</v>
      </c>
      <c r="E9" s="27" t="str">
        <f>IF('Sample Namen'!J$11=H9,A9,"")</f>
        <v/>
      </c>
      <c r="F9" t="s">
        <v>152</v>
      </c>
      <c r="G9" s="27">
        <v>1</v>
      </c>
      <c r="H9" s="27" t="str">
        <f t="shared" si="1"/>
        <v>H;1</v>
      </c>
    </row>
    <row r="10" spans="1:8" x14ac:dyDescent="0.25">
      <c r="A10">
        <v>9</v>
      </c>
      <c r="B10">
        <v>2</v>
      </c>
      <c r="C10">
        <v>3</v>
      </c>
      <c r="D10" s="1" t="str">
        <f t="shared" si="0"/>
        <v>2;3</v>
      </c>
      <c r="E10" s="27" t="str">
        <f>IF('Sample Namen'!J$11=H10,A10,"")</f>
        <v/>
      </c>
      <c r="F10" s="27" t="s">
        <v>145</v>
      </c>
      <c r="G10" s="27">
        <v>2</v>
      </c>
      <c r="H10" s="27" t="str">
        <f t="shared" si="1"/>
        <v>A;2</v>
      </c>
    </row>
    <row r="11" spans="1:8" x14ac:dyDescent="0.25">
      <c r="A11">
        <v>10</v>
      </c>
      <c r="B11">
        <v>3</v>
      </c>
      <c r="C11">
        <v>2</v>
      </c>
      <c r="D11" s="1" t="str">
        <f t="shared" si="0"/>
        <v>3;2</v>
      </c>
      <c r="E11" s="27" t="str">
        <f>IF('Sample Namen'!J$11=H11,A11,"")</f>
        <v/>
      </c>
      <c r="F11" s="27" t="s">
        <v>146</v>
      </c>
      <c r="G11" s="27">
        <v>2</v>
      </c>
      <c r="H11" s="27" t="str">
        <f t="shared" si="1"/>
        <v>B;2</v>
      </c>
    </row>
    <row r="12" spans="1:8" x14ac:dyDescent="0.25">
      <c r="A12">
        <v>11</v>
      </c>
      <c r="B12">
        <v>1</v>
      </c>
      <c r="C12">
        <v>7</v>
      </c>
      <c r="D12" s="1" t="str">
        <f t="shared" si="0"/>
        <v>1;7</v>
      </c>
      <c r="E12" s="27" t="str">
        <f>IF('Sample Namen'!J$11=H12,A12,"")</f>
        <v/>
      </c>
      <c r="F12" s="27" t="s">
        <v>147</v>
      </c>
      <c r="G12" s="27">
        <v>2</v>
      </c>
      <c r="H12" s="27" t="str">
        <f t="shared" si="1"/>
        <v>C;2</v>
      </c>
    </row>
    <row r="13" spans="1:8" x14ac:dyDescent="0.25">
      <c r="A13">
        <v>12</v>
      </c>
      <c r="B13">
        <v>6</v>
      </c>
      <c r="C13">
        <v>1</v>
      </c>
      <c r="D13" s="1" t="str">
        <f t="shared" si="0"/>
        <v>6;1</v>
      </c>
      <c r="E13" s="27" t="str">
        <f>IF('Sample Namen'!J$11=H13,A13,"")</f>
        <v/>
      </c>
      <c r="F13" s="27" t="s">
        <v>148</v>
      </c>
      <c r="G13" s="27">
        <v>2</v>
      </c>
      <c r="H13" s="27" t="str">
        <f t="shared" si="1"/>
        <v>D;2</v>
      </c>
    </row>
    <row r="14" spans="1:8" x14ac:dyDescent="0.25">
      <c r="A14">
        <v>13</v>
      </c>
      <c r="B14">
        <v>9</v>
      </c>
      <c r="C14">
        <v>6</v>
      </c>
      <c r="D14" s="1" t="str">
        <f t="shared" si="0"/>
        <v>9;6</v>
      </c>
      <c r="E14" s="27" t="str">
        <f>IF('Sample Namen'!J$11=H14,A14,"")</f>
        <v/>
      </c>
      <c r="F14" s="27" t="s">
        <v>149</v>
      </c>
      <c r="G14" s="27">
        <v>2</v>
      </c>
      <c r="H14" s="27" t="str">
        <f t="shared" si="1"/>
        <v>E;2</v>
      </c>
    </row>
    <row r="15" spans="1:8" x14ac:dyDescent="0.25">
      <c r="A15">
        <v>14</v>
      </c>
      <c r="B15">
        <v>8</v>
      </c>
      <c r="C15">
        <v>4</v>
      </c>
      <c r="D15" s="1" t="str">
        <f t="shared" si="0"/>
        <v>8;4</v>
      </c>
      <c r="E15" s="27" t="str">
        <f>IF('Sample Namen'!J$11=H15,A15,"")</f>
        <v/>
      </c>
      <c r="F15" s="27" t="s">
        <v>150</v>
      </c>
      <c r="G15" s="27">
        <v>2</v>
      </c>
      <c r="H15" s="27" t="str">
        <f t="shared" si="1"/>
        <v>F;2</v>
      </c>
    </row>
    <row r="16" spans="1:8" x14ac:dyDescent="0.25">
      <c r="A16">
        <v>15</v>
      </c>
      <c r="B16">
        <v>10</v>
      </c>
      <c r="C16">
        <v>8</v>
      </c>
      <c r="D16" s="1" t="str">
        <f t="shared" si="0"/>
        <v>10;8</v>
      </c>
      <c r="E16" s="27" t="str">
        <f>IF('Sample Namen'!J$11=H16,A16,"")</f>
        <v/>
      </c>
      <c r="F16" s="27" t="s">
        <v>151</v>
      </c>
      <c r="G16" s="27">
        <v>2</v>
      </c>
      <c r="H16" s="27" t="str">
        <f t="shared" si="1"/>
        <v>G;2</v>
      </c>
    </row>
    <row r="17" spans="1:8" x14ac:dyDescent="0.25">
      <c r="A17">
        <v>16</v>
      </c>
      <c r="B17">
        <v>7</v>
      </c>
      <c r="C17">
        <v>5</v>
      </c>
      <c r="D17" s="1" t="str">
        <f t="shared" si="0"/>
        <v>7;5</v>
      </c>
      <c r="E17" s="27" t="str">
        <f>IF('Sample Namen'!J$11=H17,A17,"")</f>
        <v/>
      </c>
      <c r="F17" s="27" t="s">
        <v>152</v>
      </c>
      <c r="G17" s="27">
        <v>2</v>
      </c>
      <c r="H17" s="27" t="str">
        <f t="shared" si="1"/>
        <v>H;2</v>
      </c>
    </row>
    <row r="18" spans="1:8" x14ac:dyDescent="0.25">
      <c r="A18">
        <v>17</v>
      </c>
      <c r="B18">
        <v>3</v>
      </c>
      <c r="C18">
        <v>7</v>
      </c>
      <c r="D18" s="1" t="str">
        <f t="shared" si="0"/>
        <v>3;7</v>
      </c>
      <c r="E18" s="27" t="str">
        <f>IF('Sample Namen'!J$11=H18,A18,"")</f>
        <v/>
      </c>
      <c r="F18" s="27" t="s">
        <v>145</v>
      </c>
      <c r="G18" s="27">
        <v>3</v>
      </c>
      <c r="H18" s="27" t="str">
        <f t="shared" si="1"/>
        <v>A;3</v>
      </c>
    </row>
    <row r="19" spans="1:8" x14ac:dyDescent="0.25">
      <c r="A19">
        <v>18</v>
      </c>
      <c r="B19">
        <v>1</v>
      </c>
      <c r="C19">
        <v>3</v>
      </c>
      <c r="D19" s="1" t="str">
        <f t="shared" si="0"/>
        <v>1;3</v>
      </c>
      <c r="E19" s="27" t="str">
        <f>IF('Sample Namen'!J$11=H19,A19,"")</f>
        <v/>
      </c>
      <c r="F19" s="27" t="s">
        <v>146</v>
      </c>
      <c r="G19" s="27">
        <v>3</v>
      </c>
      <c r="H19" s="27" t="str">
        <f t="shared" si="1"/>
        <v>B;3</v>
      </c>
    </row>
    <row r="20" spans="1:8" x14ac:dyDescent="0.25">
      <c r="A20">
        <v>19</v>
      </c>
      <c r="B20">
        <v>2</v>
      </c>
      <c r="C20">
        <v>2</v>
      </c>
      <c r="D20" s="1" t="str">
        <f t="shared" si="0"/>
        <v>2;2</v>
      </c>
      <c r="E20" s="27" t="str">
        <f>IF('Sample Namen'!J$11=H20,A20,"")</f>
        <v/>
      </c>
      <c r="F20" s="27" t="s">
        <v>147</v>
      </c>
      <c r="G20" s="27">
        <v>3</v>
      </c>
      <c r="H20" s="27" t="str">
        <f t="shared" si="1"/>
        <v>C;3</v>
      </c>
    </row>
    <row r="21" spans="1:8" x14ac:dyDescent="0.25">
      <c r="A21">
        <v>20</v>
      </c>
      <c r="B21">
        <v>12</v>
      </c>
      <c r="C21">
        <v>1</v>
      </c>
      <c r="D21" s="1" t="str">
        <f t="shared" si="0"/>
        <v>12;1</v>
      </c>
      <c r="E21" s="27" t="str">
        <f>IF('Sample Namen'!J$11=H21,A21,"")</f>
        <v/>
      </c>
      <c r="F21" s="27" t="s">
        <v>148</v>
      </c>
      <c r="G21" s="27">
        <v>3</v>
      </c>
      <c r="H21" s="27" t="str">
        <f t="shared" si="1"/>
        <v>D;3</v>
      </c>
    </row>
    <row r="22" spans="1:8" x14ac:dyDescent="0.25">
      <c r="A22">
        <v>21</v>
      </c>
      <c r="B22">
        <v>11</v>
      </c>
      <c r="C22">
        <v>6</v>
      </c>
      <c r="D22" s="1" t="str">
        <f t="shared" si="0"/>
        <v>11;6</v>
      </c>
      <c r="E22" s="27" t="str">
        <f>IF('Sample Namen'!J$11=H22,A22,"")</f>
        <v/>
      </c>
      <c r="F22" s="27" t="s">
        <v>149</v>
      </c>
      <c r="G22" s="27">
        <v>3</v>
      </c>
      <c r="H22" s="27" t="str">
        <f t="shared" si="1"/>
        <v>E;3</v>
      </c>
    </row>
    <row r="23" spans="1:8" x14ac:dyDescent="0.25">
      <c r="A23">
        <v>22</v>
      </c>
      <c r="B23">
        <v>10</v>
      </c>
      <c r="C23">
        <v>5</v>
      </c>
      <c r="D23" s="1" t="str">
        <f t="shared" si="0"/>
        <v>10;5</v>
      </c>
      <c r="E23" s="27" t="str">
        <f>IF('Sample Namen'!J$11=H23,A23,"")</f>
        <v/>
      </c>
      <c r="F23" s="27" t="s">
        <v>150</v>
      </c>
      <c r="G23" s="27">
        <v>3</v>
      </c>
      <c r="H23" s="27" t="str">
        <f t="shared" si="1"/>
        <v>F;3</v>
      </c>
    </row>
    <row r="24" spans="1:8" x14ac:dyDescent="0.25">
      <c r="A24">
        <v>23</v>
      </c>
      <c r="B24">
        <v>7</v>
      </c>
      <c r="C24">
        <v>4</v>
      </c>
      <c r="D24" s="1" t="str">
        <f t="shared" si="0"/>
        <v>7;4</v>
      </c>
      <c r="E24" s="27" t="str">
        <f>IF('Sample Namen'!J$11=H24,A24,"")</f>
        <v/>
      </c>
      <c r="F24" s="27" t="s">
        <v>151</v>
      </c>
      <c r="G24" s="27">
        <v>3</v>
      </c>
      <c r="H24" s="27" t="str">
        <f t="shared" si="1"/>
        <v>G;3</v>
      </c>
    </row>
    <row r="25" spans="1:8" x14ac:dyDescent="0.25">
      <c r="A25">
        <v>24</v>
      </c>
      <c r="B25">
        <v>8</v>
      </c>
      <c r="C25">
        <v>8</v>
      </c>
      <c r="D25" s="1" t="str">
        <f t="shared" si="0"/>
        <v>8;8</v>
      </c>
      <c r="E25" s="27" t="str">
        <f>IF('Sample Namen'!J$11=H25,A25,"")</f>
        <v/>
      </c>
      <c r="F25" s="27" t="s">
        <v>152</v>
      </c>
      <c r="G25" s="27">
        <v>3</v>
      </c>
      <c r="H25" s="27" t="str">
        <f t="shared" si="1"/>
        <v>H;3</v>
      </c>
    </row>
    <row r="26" spans="1:8" x14ac:dyDescent="0.25">
      <c r="A26">
        <v>25</v>
      </c>
      <c r="B26">
        <v>4</v>
      </c>
      <c r="C26">
        <v>2</v>
      </c>
      <c r="D26" s="1" t="str">
        <f t="shared" si="0"/>
        <v>4;2</v>
      </c>
      <c r="E26" s="27" t="str">
        <f>IF('Sample Namen'!J$11=H26,A26,"")</f>
        <v/>
      </c>
      <c r="F26" s="27" t="s">
        <v>145</v>
      </c>
      <c r="G26" s="27">
        <v>4</v>
      </c>
      <c r="H26" s="27" t="str">
        <f t="shared" si="1"/>
        <v>A;4</v>
      </c>
    </row>
    <row r="27" spans="1:8" x14ac:dyDescent="0.25">
      <c r="A27">
        <v>26</v>
      </c>
      <c r="B27">
        <v>6</v>
      </c>
      <c r="C27">
        <v>7</v>
      </c>
      <c r="D27" s="1" t="str">
        <f t="shared" si="0"/>
        <v>6;7</v>
      </c>
      <c r="E27" s="27" t="str">
        <f>IF('Sample Namen'!J$11=H27,A27,"")</f>
        <v/>
      </c>
      <c r="F27" s="27" t="s">
        <v>146</v>
      </c>
      <c r="G27" s="27">
        <v>4</v>
      </c>
      <c r="H27" s="27" t="str">
        <f t="shared" si="1"/>
        <v>B;4</v>
      </c>
    </row>
    <row r="28" spans="1:8" x14ac:dyDescent="0.25">
      <c r="A28">
        <v>27</v>
      </c>
      <c r="B28">
        <v>12</v>
      </c>
      <c r="C28">
        <v>3</v>
      </c>
      <c r="D28" s="1" t="str">
        <f t="shared" si="0"/>
        <v>12;3</v>
      </c>
      <c r="E28" s="27" t="str">
        <f>IF('Sample Namen'!J$11=H28,A28,"")</f>
        <v/>
      </c>
      <c r="F28" s="27" t="s">
        <v>147</v>
      </c>
      <c r="G28" s="27">
        <v>4</v>
      </c>
      <c r="H28" s="27" t="str">
        <f t="shared" si="1"/>
        <v>C;4</v>
      </c>
    </row>
    <row r="29" spans="1:8" x14ac:dyDescent="0.25">
      <c r="A29">
        <v>28</v>
      </c>
      <c r="B29">
        <v>5</v>
      </c>
      <c r="C29">
        <v>1</v>
      </c>
      <c r="D29" s="1" t="str">
        <f t="shared" si="0"/>
        <v>5;1</v>
      </c>
      <c r="E29" s="27" t="str">
        <f>IF('Sample Namen'!J$11=H29,A29,"")</f>
        <v/>
      </c>
      <c r="F29" s="27" t="s">
        <v>148</v>
      </c>
      <c r="G29" s="27">
        <v>4</v>
      </c>
      <c r="H29" s="27" t="str">
        <f t="shared" si="1"/>
        <v>D;4</v>
      </c>
    </row>
    <row r="30" spans="1:8" x14ac:dyDescent="0.25">
      <c r="A30">
        <v>29</v>
      </c>
      <c r="B30">
        <v>7</v>
      </c>
      <c r="C30">
        <v>6</v>
      </c>
      <c r="D30" s="1" t="str">
        <f t="shared" si="0"/>
        <v>7;6</v>
      </c>
      <c r="E30" s="27" t="str">
        <f>IF('Sample Namen'!J$11=H30,A30,"")</f>
        <v/>
      </c>
      <c r="F30" s="27" t="s">
        <v>149</v>
      </c>
      <c r="G30" s="27">
        <v>4</v>
      </c>
      <c r="H30" s="27" t="str">
        <f t="shared" si="1"/>
        <v>E;4</v>
      </c>
    </row>
    <row r="31" spans="1:8" x14ac:dyDescent="0.25">
      <c r="A31">
        <v>30</v>
      </c>
      <c r="B31">
        <v>1</v>
      </c>
      <c r="C31">
        <v>8</v>
      </c>
      <c r="D31" s="1" t="str">
        <f t="shared" si="0"/>
        <v>1;8</v>
      </c>
      <c r="E31" s="27" t="str">
        <f>IF('Sample Namen'!J$11=H31,A31,"")</f>
        <v/>
      </c>
      <c r="F31" s="27" t="s">
        <v>150</v>
      </c>
      <c r="G31" s="27">
        <v>4</v>
      </c>
      <c r="H31" s="27" t="str">
        <f t="shared" si="1"/>
        <v>F;4</v>
      </c>
    </row>
    <row r="32" spans="1:8" x14ac:dyDescent="0.25">
      <c r="A32">
        <v>31</v>
      </c>
      <c r="B32">
        <v>2</v>
      </c>
      <c r="C32">
        <v>5</v>
      </c>
      <c r="D32" s="1" t="str">
        <f t="shared" si="0"/>
        <v>2;5</v>
      </c>
      <c r="E32" s="27" t="str">
        <f>IF('Sample Namen'!J$11=H32,A32,"")</f>
        <v/>
      </c>
      <c r="F32" s="27" t="s">
        <v>151</v>
      </c>
      <c r="G32" s="27">
        <v>4</v>
      </c>
      <c r="H32" s="27" t="str">
        <f t="shared" si="1"/>
        <v>G;4</v>
      </c>
    </row>
    <row r="33" spans="1:8" x14ac:dyDescent="0.25">
      <c r="A33">
        <v>32</v>
      </c>
      <c r="B33">
        <v>3</v>
      </c>
      <c r="C33">
        <v>4</v>
      </c>
      <c r="D33" s="1" t="str">
        <f t="shared" si="0"/>
        <v>3;4</v>
      </c>
      <c r="E33" s="27" t="str">
        <f>IF('Sample Namen'!J$11=H33,A33,"")</f>
        <v/>
      </c>
      <c r="F33" s="27" t="s">
        <v>152</v>
      </c>
      <c r="G33" s="27">
        <v>4</v>
      </c>
      <c r="H33" s="27" t="str">
        <f t="shared" si="1"/>
        <v>H;4</v>
      </c>
    </row>
    <row r="34" spans="1:8" x14ac:dyDescent="0.25">
      <c r="A34">
        <v>33</v>
      </c>
      <c r="B34">
        <v>6</v>
      </c>
      <c r="C34">
        <v>3</v>
      </c>
      <c r="D34" s="1" t="str">
        <f t="shared" ref="D34:D65" si="2">B34&amp;";"&amp;C34</f>
        <v>6;3</v>
      </c>
      <c r="E34" s="27" t="str">
        <f>IF('Sample Namen'!J$11=H34,A34,"")</f>
        <v/>
      </c>
      <c r="F34" s="27" t="s">
        <v>145</v>
      </c>
      <c r="G34" s="27">
        <v>5</v>
      </c>
      <c r="H34" s="27" t="str">
        <f t="shared" si="1"/>
        <v>A;5</v>
      </c>
    </row>
    <row r="35" spans="1:8" x14ac:dyDescent="0.25">
      <c r="A35">
        <v>34</v>
      </c>
      <c r="B35">
        <v>12</v>
      </c>
      <c r="C35">
        <v>2</v>
      </c>
      <c r="D35" s="1" t="str">
        <f t="shared" si="2"/>
        <v>12;2</v>
      </c>
      <c r="E35" s="27" t="str">
        <f>IF('Sample Namen'!J$11=H35,A35,"")</f>
        <v/>
      </c>
      <c r="F35" s="27" t="s">
        <v>146</v>
      </c>
      <c r="G35" s="27">
        <v>5</v>
      </c>
      <c r="H35" s="27" t="str">
        <f t="shared" si="1"/>
        <v>B;5</v>
      </c>
    </row>
    <row r="36" spans="1:8" x14ac:dyDescent="0.25">
      <c r="A36">
        <v>35</v>
      </c>
      <c r="B36">
        <v>4</v>
      </c>
      <c r="C36">
        <v>7</v>
      </c>
      <c r="D36" s="1" t="str">
        <f t="shared" si="2"/>
        <v>4;7</v>
      </c>
      <c r="E36" s="27" t="str">
        <f>IF('Sample Namen'!J$11=H36,A36,"")</f>
        <v/>
      </c>
      <c r="F36" s="27" t="s">
        <v>147</v>
      </c>
      <c r="G36" s="27">
        <v>5</v>
      </c>
      <c r="H36" s="27" t="str">
        <f t="shared" si="1"/>
        <v>C;5</v>
      </c>
    </row>
    <row r="37" spans="1:8" x14ac:dyDescent="0.25">
      <c r="A37">
        <v>36</v>
      </c>
      <c r="B37">
        <v>9</v>
      </c>
      <c r="C37">
        <v>1</v>
      </c>
      <c r="D37" s="1" t="str">
        <f t="shared" si="2"/>
        <v>9;1</v>
      </c>
      <c r="E37" s="27" t="str">
        <f>IF('Sample Namen'!J$11=H37,A37,"")</f>
        <v/>
      </c>
      <c r="F37" s="27" t="s">
        <v>148</v>
      </c>
      <c r="G37" s="27">
        <v>5</v>
      </c>
      <c r="H37" s="27" t="str">
        <f t="shared" si="1"/>
        <v>D;5</v>
      </c>
    </row>
    <row r="38" spans="1:8" x14ac:dyDescent="0.25">
      <c r="A38">
        <v>37</v>
      </c>
      <c r="B38">
        <v>8</v>
      </c>
      <c r="C38">
        <v>6</v>
      </c>
      <c r="D38" s="1" t="str">
        <f t="shared" si="2"/>
        <v>8;6</v>
      </c>
      <c r="E38" s="27" t="str">
        <f>IF('Sample Namen'!J$11=H38,A38,"")</f>
        <v/>
      </c>
      <c r="F38" s="27" t="s">
        <v>149</v>
      </c>
      <c r="G38" s="27">
        <v>5</v>
      </c>
      <c r="H38" s="27" t="str">
        <f t="shared" si="1"/>
        <v>E;5</v>
      </c>
    </row>
    <row r="39" spans="1:8" x14ac:dyDescent="0.25">
      <c r="A39">
        <v>38</v>
      </c>
      <c r="B39">
        <v>2</v>
      </c>
      <c r="C39">
        <v>4</v>
      </c>
      <c r="D39" s="1" t="str">
        <f t="shared" si="2"/>
        <v>2;4</v>
      </c>
      <c r="E39" s="27" t="str">
        <f>IF('Sample Namen'!J$11=H39,A39,"")</f>
        <v/>
      </c>
      <c r="F39" s="27" t="s">
        <v>150</v>
      </c>
      <c r="G39" s="27">
        <v>5</v>
      </c>
      <c r="H39" s="27" t="str">
        <f t="shared" si="1"/>
        <v>F;5</v>
      </c>
    </row>
    <row r="40" spans="1:8" x14ac:dyDescent="0.25">
      <c r="A40">
        <v>39</v>
      </c>
      <c r="B40">
        <v>3</v>
      </c>
      <c r="C40">
        <v>8</v>
      </c>
      <c r="D40" s="1" t="str">
        <f t="shared" si="2"/>
        <v>3;8</v>
      </c>
      <c r="E40" s="27" t="str">
        <f>IF('Sample Namen'!J$11=H40,A40,"")</f>
        <v/>
      </c>
      <c r="F40" s="27" t="s">
        <v>151</v>
      </c>
      <c r="G40" s="27">
        <v>5</v>
      </c>
      <c r="H40" s="27" t="str">
        <f t="shared" si="1"/>
        <v>G;5</v>
      </c>
    </row>
    <row r="41" spans="1:8" x14ac:dyDescent="0.25">
      <c r="A41">
        <v>40</v>
      </c>
      <c r="B41">
        <v>1</v>
      </c>
      <c r="C41">
        <v>5</v>
      </c>
      <c r="D41" s="1" t="str">
        <f t="shared" si="2"/>
        <v>1;5</v>
      </c>
      <c r="E41" s="27" t="str">
        <f>IF('Sample Namen'!J$11=H41,A41,"")</f>
        <v/>
      </c>
      <c r="F41" s="27" t="s">
        <v>152</v>
      </c>
      <c r="G41" s="27">
        <v>5</v>
      </c>
      <c r="H41" s="27" t="str">
        <f t="shared" si="1"/>
        <v>H;5</v>
      </c>
    </row>
    <row r="42" spans="1:8" x14ac:dyDescent="0.25">
      <c r="A42">
        <v>41</v>
      </c>
      <c r="B42">
        <v>12</v>
      </c>
      <c r="C42">
        <v>7</v>
      </c>
      <c r="D42" s="1" t="str">
        <f t="shared" si="2"/>
        <v>12;7</v>
      </c>
      <c r="E42" s="27" t="str">
        <f>IF('Sample Namen'!J$11=H42,A42,"")</f>
        <v/>
      </c>
      <c r="F42" s="27" t="s">
        <v>145</v>
      </c>
      <c r="G42" s="27">
        <v>6</v>
      </c>
      <c r="H42" s="27" t="str">
        <f t="shared" si="1"/>
        <v>A;6</v>
      </c>
    </row>
    <row r="43" spans="1:8" x14ac:dyDescent="0.25">
      <c r="A43">
        <v>42</v>
      </c>
      <c r="B43">
        <v>4</v>
      </c>
      <c r="C43">
        <v>3</v>
      </c>
      <c r="D43" s="1" t="str">
        <f t="shared" si="2"/>
        <v>4;3</v>
      </c>
      <c r="E43" s="27" t="str">
        <f>IF('Sample Namen'!J$11=H43,A43,"")</f>
        <v/>
      </c>
      <c r="F43" s="27" t="s">
        <v>146</v>
      </c>
      <c r="G43" s="27">
        <v>6</v>
      </c>
      <c r="H43" s="27" t="str">
        <f t="shared" si="1"/>
        <v>B;6</v>
      </c>
    </row>
    <row r="44" spans="1:8" x14ac:dyDescent="0.25">
      <c r="A44">
        <v>43</v>
      </c>
      <c r="B44">
        <v>6</v>
      </c>
      <c r="C44">
        <v>2</v>
      </c>
      <c r="D44" s="1" t="str">
        <f t="shared" si="2"/>
        <v>6;2</v>
      </c>
      <c r="E44" s="27" t="str">
        <f>IF('Sample Namen'!J$11=H44,A44,"")</f>
        <v/>
      </c>
      <c r="F44" s="27" t="s">
        <v>147</v>
      </c>
      <c r="G44" s="27">
        <v>6</v>
      </c>
      <c r="H44" s="27" t="str">
        <f t="shared" si="1"/>
        <v>C;6</v>
      </c>
    </row>
    <row r="45" spans="1:8" x14ac:dyDescent="0.25">
      <c r="A45">
        <v>44</v>
      </c>
      <c r="B45">
        <v>11</v>
      </c>
      <c r="C45">
        <v>1</v>
      </c>
      <c r="D45" s="1" t="str">
        <f t="shared" si="2"/>
        <v>11;1</v>
      </c>
      <c r="E45" s="27" t="str">
        <f>IF('Sample Namen'!J$11=H45,A45,"")</f>
        <v/>
      </c>
      <c r="F45" s="27" t="s">
        <v>148</v>
      </c>
      <c r="G45" s="27">
        <v>6</v>
      </c>
      <c r="H45" s="27" t="str">
        <f t="shared" si="1"/>
        <v>D;6</v>
      </c>
    </row>
    <row r="46" spans="1:8" x14ac:dyDescent="0.25">
      <c r="A46">
        <v>45</v>
      </c>
      <c r="B46">
        <v>10</v>
      </c>
      <c r="C46">
        <v>6</v>
      </c>
      <c r="D46" s="1" t="str">
        <f t="shared" si="2"/>
        <v>10;6</v>
      </c>
      <c r="E46" s="27" t="str">
        <f>IF('Sample Namen'!J$11=H46,A46,"")</f>
        <v/>
      </c>
      <c r="F46" s="27" t="s">
        <v>149</v>
      </c>
      <c r="G46" s="27">
        <v>6</v>
      </c>
      <c r="H46" s="27" t="str">
        <f t="shared" si="1"/>
        <v>E;6</v>
      </c>
    </row>
    <row r="47" spans="1:8" x14ac:dyDescent="0.25">
      <c r="A47">
        <v>46</v>
      </c>
      <c r="B47">
        <v>3</v>
      </c>
      <c r="C47">
        <v>5</v>
      </c>
      <c r="D47" s="1" t="str">
        <f t="shared" si="2"/>
        <v>3;5</v>
      </c>
      <c r="E47" s="27" t="str">
        <f>IF('Sample Namen'!J$11=H47,A47,"")</f>
        <v/>
      </c>
      <c r="F47" s="27" t="s">
        <v>150</v>
      </c>
      <c r="G47" s="27">
        <v>6</v>
      </c>
      <c r="H47" s="27" t="str">
        <f t="shared" si="1"/>
        <v>F;6</v>
      </c>
    </row>
    <row r="48" spans="1:8" x14ac:dyDescent="0.25">
      <c r="A48">
        <v>47</v>
      </c>
      <c r="B48">
        <v>1</v>
      </c>
      <c r="C48">
        <v>4</v>
      </c>
      <c r="D48" s="1" t="str">
        <f t="shared" si="2"/>
        <v>1;4</v>
      </c>
      <c r="E48" s="27" t="str">
        <f>IF('Sample Namen'!J$11=H48,A48,"")</f>
        <v/>
      </c>
      <c r="F48" s="27" t="s">
        <v>151</v>
      </c>
      <c r="G48" s="27">
        <v>6</v>
      </c>
      <c r="H48" s="27" t="str">
        <f t="shared" si="1"/>
        <v>G;6</v>
      </c>
    </row>
    <row r="49" spans="1:8" x14ac:dyDescent="0.25">
      <c r="A49">
        <v>48</v>
      </c>
      <c r="B49">
        <v>2</v>
      </c>
      <c r="C49">
        <v>8</v>
      </c>
      <c r="D49" s="1" t="str">
        <f t="shared" si="2"/>
        <v>2;8</v>
      </c>
      <c r="E49" s="27" t="str">
        <f>IF('Sample Namen'!J$11=H49,A49,"")</f>
        <v/>
      </c>
      <c r="F49" s="27" t="s">
        <v>152</v>
      </c>
      <c r="G49" s="27">
        <v>6</v>
      </c>
      <c r="H49" s="27" t="str">
        <f t="shared" si="1"/>
        <v>H;6</v>
      </c>
    </row>
    <row r="50" spans="1:8" x14ac:dyDescent="0.25">
      <c r="A50">
        <v>49</v>
      </c>
      <c r="B50">
        <v>5</v>
      </c>
      <c r="C50">
        <v>2</v>
      </c>
      <c r="D50" s="1" t="str">
        <f t="shared" si="2"/>
        <v>5;2</v>
      </c>
      <c r="E50" s="27" t="str">
        <f>IF('Sample Namen'!J$11=H50,A50,"")</f>
        <v/>
      </c>
      <c r="F50" s="27" t="s">
        <v>145</v>
      </c>
      <c r="G50" s="27">
        <v>7</v>
      </c>
      <c r="H50" s="27" t="str">
        <f t="shared" si="1"/>
        <v>A;7</v>
      </c>
    </row>
    <row r="51" spans="1:8" x14ac:dyDescent="0.25">
      <c r="A51">
        <v>50</v>
      </c>
      <c r="B51">
        <v>9</v>
      </c>
      <c r="C51">
        <v>7</v>
      </c>
      <c r="D51" s="1" t="str">
        <f t="shared" si="2"/>
        <v>9;7</v>
      </c>
      <c r="E51" s="27" t="str">
        <f>IF('Sample Namen'!J$11=H51,A51,"")</f>
        <v/>
      </c>
      <c r="F51" s="27" t="s">
        <v>146</v>
      </c>
      <c r="G51" s="27">
        <v>7</v>
      </c>
      <c r="H51" s="27" t="str">
        <f t="shared" si="1"/>
        <v>B;7</v>
      </c>
    </row>
    <row r="52" spans="1:8" x14ac:dyDescent="0.25">
      <c r="A52">
        <v>51</v>
      </c>
      <c r="B52">
        <v>11</v>
      </c>
      <c r="C52">
        <v>3</v>
      </c>
      <c r="D52" s="1" t="str">
        <f t="shared" si="2"/>
        <v>11;3</v>
      </c>
      <c r="E52" s="27" t="str">
        <f>IF('Sample Namen'!J$11=H52,A52,"")</f>
        <v/>
      </c>
      <c r="F52" s="27" t="s">
        <v>147</v>
      </c>
      <c r="G52" s="27">
        <v>7</v>
      </c>
      <c r="H52" s="27" t="str">
        <f t="shared" si="1"/>
        <v>C;7</v>
      </c>
    </row>
    <row r="53" spans="1:8" x14ac:dyDescent="0.25">
      <c r="A53">
        <v>52</v>
      </c>
      <c r="B53">
        <v>7</v>
      </c>
      <c r="C53">
        <v>1</v>
      </c>
      <c r="D53" s="1" t="str">
        <f t="shared" si="2"/>
        <v>7;1</v>
      </c>
      <c r="E53" s="27" t="str">
        <f>IF('Sample Namen'!J$11=H53,A53,"")</f>
        <v/>
      </c>
      <c r="F53" s="27" t="s">
        <v>148</v>
      </c>
      <c r="G53" s="27">
        <v>7</v>
      </c>
      <c r="H53" s="27" t="str">
        <f t="shared" si="1"/>
        <v>D;7</v>
      </c>
    </row>
    <row r="54" spans="1:8" x14ac:dyDescent="0.25">
      <c r="A54">
        <v>53</v>
      </c>
      <c r="B54">
        <v>1</v>
      </c>
      <c r="C54">
        <v>6</v>
      </c>
      <c r="D54" s="1" t="str">
        <f t="shared" si="2"/>
        <v>1;6</v>
      </c>
      <c r="E54" s="27" t="str">
        <f>IF('Sample Namen'!J$11=H54,A54,"")</f>
        <v/>
      </c>
      <c r="F54" s="27" t="s">
        <v>149</v>
      </c>
      <c r="G54" s="27">
        <v>7</v>
      </c>
      <c r="H54" s="27" t="str">
        <f t="shared" si="1"/>
        <v>E;7</v>
      </c>
    </row>
    <row r="55" spans="1:8" x14ac:dyDescent="0.25">
      <c r="A55">
        <v>54</v>
      </c>
      <c r="B55">
        <v>4</v>
      </c>
      <c r="C55">
        <v>8</v>
      </c>
      <c r="D55" s="1" t="str">
        <f t="shared" si="2"/>
        <v>4;8</v>
      </c>
      <c r="E55" s="27" t="str">
        <f>IF('Sample Namen'!J$11=H55,A55,"")</f>
        <v/>
      </c>
      <c r="F55" s="27" t="s">
        <v>150</v>
      </c>
      <c r="G55" s="27">
        <v>7</v>
      </c>
      <c r="H55" s="27" t="str">
        <f t="shared" si="1"/>
        <v>F;7</v>
      </c>
    </row>
    <row r="56" spans="1:8" x14ac:dyDescent="0.25">
      <c r="A56">
        <v>55</v>
      </c>
      <c r="B56">
        <v>6</v>
      </c>
      <c r="C56">
        <v>5</v>
      </c>
      <c r="D56" s="1" t="str">
        <f t="shared" si="2"/>
        <v>6;5</v>
      </c>
      <c r="E56" s="27" t="str">
        <f>IF('Sample Namen'!J$11=H56,A56,"")</f>
        <v/>
      </c>
      <c r="F56" s="27" t="s">
        <v>151</v>
      </c>
      <c r="G56" s="27">
        <v>7</v>
      </c>
      <c r="H56" s="27" t="str">
        <f t="shared" si="1"/>
        <v>G;7</v>
      </c>
    </row>
    <row r="57" spans="1:8" x14ac:dyDescent="0.25">
      <c r="A57">
        <v>56</v>
      </c>
      <c r="B57">
        <v>12</v>
      </c>
      <c r="C57">
        <v>4</v>
      </c>
      <c r="D57" s="1" t="str">
        <f t="shared" si="2"/>
        <v>12;4</v>
      </c>
      <c r="E57" s="27" t="str">
        <f>IF('Sample Namen'!J$11=H57,A57,"")</f>
        <v/>
      </c>
      <c r="F57" s="27" t="s">
        <v>152</v>
      </c>
      <c r="G57" s="27">
        <v>7</v>
      </c>
      <c r="H57" s="27" t="str">
        <f t="shared" si="1"/>
        <v>H;7</v>
      </c>
    </row>
    <row r="58" spans="1:8" x14ac:dyDescent="0.25">
      <c r="A58">
        <v>57</v>
      </c>
      <c r="B58">
        <v>9</v>
      </c>
      <c r="C58">
        <v>3</v>
      </c>
      <c r="D58" s="1" t="str">
        <f t="shared" si="2"/>
        <v>9;3</v>
      </c>
      <c r="E58" s="27" t="str">
        <f>IF('Sample Namen'!J$11=H58,A58,"")</f>
        <v/>
      </c>
      <c r="F58" s="27" t="s">
        <v>145</v>
      </c>
      <c r="G58" s="27">
        <v>8</v>
      </c>
      <c r="H58" s="27" t="str">
        <f t="shared" si="1"/>
        <v>A;8</v>
      </c>
    </row>
    <row r="59" spans="1:8" x14ac:dyDescent="0.25">
      <c r="A59">
        <v>58</v>
      </c>
      <c r="B59">
        <v>11</v>
      </c>
      <c r="C59">
        <v>2</v>
      </c>
      <c r="D59" s="1" t="str">
        <f t="shared" si="2"/>
        <v>11;2</v>
      </c>
      <c r="E59" s="27" t="str">
        <f>IF('Sample Namen'!J$11=H59,A59,"")</f>
        <v/>
      </c>
      <c r="F59" s="27" t="s">
        <v>146</v>
      </c>
      <c r="G59" s="27">
        <v>8</v>
      </c>
      <c r="H59" s="27" t="str">
        <f t="shared" si="1"/>
        <v>B;8</v>
      </c>
    </row>
    <row r="60" spans="1:8" x14ac:dyDescent="0.25">
      <c r="A60">
        <v>59</v>
      </c>
      <c r="B60">
        <v>5</v>
      </c>
      <c r="C60">
        <v>7</v>
      </c>
      <c r="D60" s="1" t="str">
        <f t="shared" si="2"/>
        <v>5;7</v>
      </c>
      <c r="E60" s="27" t="str">
        <f>IF('Sample Namen'!J$11=H60,A60,"")</f>
        <v/>
      </c>
      <c r="F60" s="27" t="s">
        <v>147</v>
      </c>
      <c r="G60" s="27">
        <v>8</v>
      </c>
      <c r="H60" s="27" t="str">
        <f t="shared" si="1"/>
        <v>C;8</v>
      </c>
    </row>
    <row r="61" spans="1:8" x14ac:dyDescent="0.25">
      <c r="A61">
        <v>60</v>
      </c>
      <c r="B61">
        <v>8</v>
      </c>
      <c r="C61">
        <v>1</v>
      </c>
      <c r="D61" s="1" t="str">
        <f t="shared" si="2"/>
        <v>8;1</v>
      </c>
      <c r="E61" s="27" t="str">
        <f>IF('Sample Namen'!J$11=H61,A61,"")</f>
        <v/>
      </c>
      <c r="F61" s="27" t="s">
        <v>148</v>
      </c>
      <c r="G61" s="27">
        <v>8</v>
      </c>
      <c r="H61" s="27" t="str">
        <f t="shared" si="1"/>
        <v>D;8</v>
      </c>
    </row>
    <row r="62" spans="1:8" x14ac:dyDescent="0.25">
      <c r="A62">
        <v>61</v>
      </c>
      <c r="B62">
        <v>2</v>
      </c>
      <c r="C62">
        <v>6</v>
      </c>
      <c r="D62" s="1" t="str">
        <f t="shared" si="2"/>
        <v>2;6</v>
      </c>
      <c r="E62" s="27" t="str">
        <f>IF('Sample Namen'!J$11=H62,A62,"")</f>
        <v/>
      </c>
      <c r="F62" s="27" t="s">
        <v>149</v>
      </c>
      <c r="G62" s="27">
        <v>8</v>
      </c>
      <c r="H62" s="27" t="str">
        <f t="shared" si="1"/>
        <v>E;8</v>
      </c>
    </row>
    <row r="63" spans="1:8" x14ac:dyDescent="0.25">
      <c r="A63">
        <v>62</v>
      </c>
      <c r="B63">
        <v>6</v>
      </c>
      <c r="C63">
        <v>4</v>
      </c>
      <c r="D63" s="1" t="str">
        <f t="shared" si="2"/>
        <v>6;4</v>
      </c>
      <c r="E63" s="27" t="str">
        <f>IF('Sample Namen'!J$11=H63,A63,"")</f>
        <v/>
      </c>
      <c r="F63" s="27" t="s">
        <v>150</v>
      </c>
      <c r="G63" s="27">
        <v>8</v>
      </c>
      <c r="H63" s="27" t="str">
        <f t="shared" si="1"/>
        <v>F;8</v>
      </c>
    </row>
    <row r="64" spans="1:8" x14ac:dyDescent="0.25">
      <c r="A64">
        <v>63</v>
      </c>
      <c r="B64">
        <v>12</v>
      </c>
      <c r="C64">
        <v>8</v>
      </c>
      <c r="D64" s="1" t="str">
        <f t="shared" si="2"/>
        <v>12;8</v>
      </c>
      <c r="E64" s="27" t="str">
        <f>IF('Sample Namen'!J$11=H64,A64,"")</f>
        <v/>
      </c>
      <c r="F64" s="27" t="s">
        <v>151</v>
      </c>
      <c r="G64" s="27">
        <v>8</v>
      </c>
      <c r="H64" s="27" t="str">
        <f t="shared" si="1"/>
        <v>G;8</v>
      </c>
    </row>
    <row r="65" spans="1:8" x14ac:dyDescent="0.25">
      <c r="A65">
        <v>64</v>
      </c>
      <c r="B65">
        <v>4</v>
      </c>
      <c r="C65">
        <v>5</v>
      </c>
      <c r="D65" s="1" t="str">
        <f t="shared" si="2"/>
        <v>4;5</v>
      </c>
      <c r="E65" s="27" t="str">
        <f>IF('Sample Namen'!J$11=H65,A65,"")</f>
        <v/>
      </c>
      <c r="F65" s="27" t="s">
        <v>152</v>
      </c>
      <c r="G65" s="27">
        <v>8</v>
      </c>
      <c r="H65" s="27" t="str">
        <f t="shared" si="1"/>
        <v>H;8</v>
      </c>
    </row>
    <row r="66" spans="1:8" x14ac:dyDescent="0.25">
      <c r="A66">
        <v>65</v>
      </c>
      <c r="B66">
        <v>11</v>
      </c>
      <c r="C66">
        <v>7</v>
      </c>
      <c r="D66" s="1" t="str">
        <f t="shared" ref="D66:D97" si="3">B66&amp;";"&amp;C66</f>
        <v>11;7</v>
      </c>
      <c r="E66" s="27" t="str">
        <f>IF('Sample Namen'!J$11=H66,A66,"")</f>
        <v/>
      </c>
      <c r="F66" s="27" t="s">
        <v>145</v>
      </c>
      <c r="G66" s="27">
        <v>9</v>
      </c>
      <c r="H66" s="27" t="str">
        <f t="shared" si="1"/>
        <v>A;9</v>
      </c>
    </row>
    <row r="67" spans="1:8" x14ac:dyDescent="0.25">
      <c r="A67">
        <v>66</v>
      </c>
      <c r="B67">
        <v>5</v>
      </c>
      <c r="C67">
        <v>3</v>
      </c>
      <c r="D67" s="1" t="str">
        <f t="shared" si="3"/>
        <v>5;3</v>
      </c>
      <c r="E67" s="27" t="str">
        <f>IF('Sample Namen'!J$11=H67,A67,"")</f>
        <v/>
      </c>
      <c r="F67" s="27" t="s">
        <v>146</v>
      </c>
      <c r="G67" s="27">
        <v>9</v>
      </c>
      <c r="H67" s="27" t="str">
        <f t="shared" ref="H67:H97" si="4">F67&amp;";"&amp;G67</f>
        <v>B;9</v>
      </c>
    </row>
    <row r="68" spans="1:8" x14ac:dyDescent="0.25">
      <c r="A68">
        <v>67</v>
      </c>
      <c r="B68">
        <v>9</v>
      </c>
      <c r="C68">
        <v>2</v>
      </c>
      <c r="D68" s="1" t="str">
        <f t="shared" si="3"/>
        <v>9;2</v>
      </c>
      <c r="E68" s="27" t="str">
        <f>IF('Sample Namen'!J$11=H68,A68,"")</f>
        <v/>
      </c>
      <c r="F68" s="27" t="s">
        <v>147</v>
      </c>
      <c r="G68" s="27">
        <v>9</v>
      </c>
      <c r="H68" s="27" t="str">
        <f t="shared" si="4"/>
        <v>C;9</v>
      </c>
    </row>
    <row r="69" spans="1:8" x14ac:dyDescent="0.25">
      <c r="A69">
        <v>68</v>
      </c>
      <c r="B69">
        <v>10</v>
      </c>
      <c r="C69">
        <v>1</v>
      </c>
      <c r="D69" s="1" t="str">
        <f t="shared" si="3"/>
        <v>10;1</v>
      </c>
      <c r="E69" s="27" t="str">
        <f>IF('Sample Namen'!J$11=H69,A69,"")</f>
        <v/>
      </c>
      <c r="F69" s="27" t="s">
        <v>148</v>
      </c>
      <c r="G69" s="27">
        <v>9</v>
      </c>
      <c r="H69" s="27" t="str">
        <f t="shared" si="4"/>
        <v>D;9</v>
      </c>
    </row>
    <row r="70" spans="1:8" x14ac:dyDescent="0.25">
      <c r="A70">
        <v>69</v>
      </c>
      <c r="B70">
        <v>3</v>
      </c>
      <c r="C70">
        <v>6</v>
      </c>
      <c r="D70" s="1" t="str">
        <f t="shared" si="3"/>
        <v>3;6</v>
      </c>
      <c r="E70" s="27" t="str">
        <f>IF('Sample Namen'!J$11=H70,A70,"")</f>
        <v/>
      </c>
      <c r="F70" s="27" t="s">
        <v>149</v>
      </c>
      <c r="G70" s="27">
        <v>9</v>
      </c>
      <c r="H70" s="27" t="str">
        <f t="shared" si="4"/>
        <v>E;9</v>
      </c>
    </row>
    <row r="71" spans="1:8" x14ac:dyDescent="0.25">
      <c r="A71">
        <v>70</v>
      </c>
      <c r="B71">
        <v>12</v>
      </c>
      <c r="C71">
        <v>5</v>
      </c>
      <c r="D71" s="1" t="str">
        <f t="shared" si="3"/>
        <v>12;5</v>
      </c>
      <c r="E71" s="27" t="str">
        <f>IF('Sample Namen'!J$11=H71,A71,"")</f>
        <v/>
      </c>
      <c r="F71" s="27" t="s">
        <v>150</v>
      </c>
      <c r="G71" s="27">
        <v>9</v>
      </c>
      <c r="H71" s="27" t="str">
        <f t="shared" si="4"/>
        <v>F;9</v>
      </c>
    </row>
    <row r="72" spans="1:8" x14ac:dyDescent="0.25">
      <c r="A72">
        <v>71</v>
      </c>
      <c r="B72">
        <v>4</v>
      </c>
      <c r="C72">
        <v>4</v>
      </c>
      <c r="D72" s="1" t="str">
        <f t="shared" si="3"/>
        <v>4;4</v>
      </c>
      <c r="E72" s="27" t="str">
        <f>IF('Sample Namen'!J$11=H72,A72,"")</f>
        <v/>
      </c>
      <c r="F72" s="27" t="s">
        <v>151</v>
      </c>
      <c r="G72" s="27">
        <v>9</v>
      </c>
      <c r="H72" s="27" t="str">
        <f t="shared" si="4"/>
        <v>G;9</v>
      </c>
    </row>
    <row r="73" spans="1:8" x14ac:dyDescent="0.25">
      <c r="A73">
        <v>72</v>
      </c>
      <c r="B73">
        <v>6</v>
      </c>
      <c r="C73">
        <v>8</v>
      </c>
      <c r="D73" s="1" t="str">
        <f t="shared" si="3"/>
        <v>6;8</v>
      </c>
      <c r="E73" s="27" t="str">
        <f>IF('Sample Namen'!J$11=H73,A73,"")</f>
        <v/>
      </c>
      <c r="F73" s="27" t="s">
        <v>152</v>
      </c>
      <c r="G73" s="27">
        <v>9</v>
      </c>
      <c r="H73" s="27" t="str">
        <f t="shared" si="4"/>
        <v>H;9</v>
      </c>
    </row>
    <row r="74" spans="1:8" x14ac:dyDescent="0.25">
      <c r="A74">
        <v>73</v>
      </c>
      <c r="B74">
        <v>7</v>
      </c>
      <c r="C74">
        <v>2</v>
      </c>
      <c r="D74" s="1" t="str">
        <f t="shared" si="3"/>
        <v>7;2</v>
      </c>
      <c r="E74" s="27" t="str">
        <f>IF('Sample Namen'!J$11=H74,A74,"")</f>
        <v/>
      </c>
      <c r="F74" s="27" t="s">
        <v>145</v>
      </c>
      <c r="G74" s="27">
        <v>10</v>
      </c>
      <c r="H74" s="27" t="str">
        <f t="shared" si="4"/>
        <v>A;10</v>
      </c>
    </row>
    <row r="75" spans="1:8" x14ac:dyDescent="0.25">
      <c r="A75">
        <v>74</v>
      </c>
      <c r="B75">
        <v>8</v>
      </c>
      <c r="C75">
        <v>7</v>
      </c>
      <c r="D75" s="1" t="str">
        <f t="shared" si="3"/>
        <v>8;7</v>
      </c>
      <c r="E75" s="27" t="str">
        <f>IF('Sample Namen'!J$11=H75,A75,"")</f>
        <v/>
      </c>
      <c r="F75" s="27" t="s">
        <v>146</v>
      </c>
      <c r="G75" s="27">
        <v>10</v>
      </c>
      <c r="H75" s="27" t="str">
        <f t="shared" si="4"/>
        <v>B;10</v>
      </c>
    </row>
    <row r="76" spans="1:8" x14ac:dyDescent="0.25">
      <c r="A76">
        <v>75</v>
      </c>
      <c r="B76">
        <v>10</v>
      </c>
      <c r="C76">
        <v>3</v>
      </c>
      <c r="D76" s="1" t="str">
        <f t="shared" si="3"/>
        <v>10;3</v>
      </c>
      <c r="E76" s="27" t="str">
        <f>IF('Sample Namen'!J$11=H76,A76,"")</f>
        <v/>
      </c>
      <c r="F76" s="27" t="s">
        <v>147</v>
      </c>
      <c r="G76" s="27">
        <v>10</v>
      </c>
      <c r="H76" s="27" t="str">
        <f t="shared" si="4"/>
        <v>C;10</v>
      </c>
    </row>
    <row r="77" spans="1:8" x14ac:dyDescent="0.25">
      <c r="A77">
        <v>76</v>
      </c>
      <c r="B77">
        <v>1</v>
      </c>
      <c r="C77">
        <v>1</v>
      </c>
      <c r="D77" s="1" t="str">
        <f t="shared" si="3"/>
        <v>1;1</v>
      </c>
      <c r="E77" s="27" t="str">
        <f>IF('Sample Namen'!J$11=H77,A77,"")</f>
        <v/>
      </c>
      <c r="F77" s="27" t="s">
        <v>148</v>
      </c>
      <c r="G77" s="27">
        <v>10</v>
      </c>
      <c r="H77" s="27" t="str">
        <f t="shared" si="4"/>
        <v>D;10</v>
      </c>
    </row>
    <row r="78" spans="1:8" x14ac:dyDescent="0.25">
      <c r="A78">
        <v>77</v>
      </c>
      <c r="B78">
        <v>4</v>
      </c>
      <c r="C78">
        <v>6</v>
      </c>
      <c r="D78" s="1" t="str">
        <f t="shared" si="3"/>
        <v>4;6</v>
      </c>
      <c r="E78" s="27" t="str">
        <f>IF('Sample Namen'!J$11=H78,A78,"")</f>
        <v/>
      </c>
      <c r="F78" s="27" t="s">
        <v>149</v>
      </c>
      <c r="G78" s="27">
        <v>10</v>
      </c>
      <c r="H78" s="27" t="str">
        <f t="shared" si="4"/>
        <v>E;10</v>
      </c>
    </row>
    <row r="79" spans="1:8" x14ac:dyDescent="0.25">
      <c r="A79">
        <v>78</v>
      </c>
      <c r="B79">
        <v>5</v>
      </c>
      <c r="C79">
        <v>8</v>
      </c>
      <c r="D79" s="1" t="str">
        <f t="shared" si="3"/>
        <v>5;8</v>
      </c>
      <c r="E79" s="27" t="str">
        <f>IF('Sample Namen'!J$11=H79,A79,"")</f>
        <v/>
      </c>
      <c r="F79" s="27" t="s">
        <v>150</v>
      </c>
      <c r="G79" s="27">
        <v>10</v>
      </c>
      <c r="H79" s="27" t="str">
        <f t="shared" si="4"/>
        <v>F;10</v>
      </c>
    </row>
    <row r="80" spans="1:8" x14ac:dyDescent="0.25">
      <c r="A80">
        <v>79</v>
      </c>
      <c r="B80">
        <v>9</v>
      </c>
      <c r="C80">
        <v>5</v>
      </c>
      <c r="D80" s="1" t="str">
        <f t="shared" si="3"/>
        <v>9;5</v>
      </c>
      <c r="E80" s="27" t="str">
        <f>IF('Sample Namen'!J$11=H80,A80,"")</f>
        <v/>
      </c>
      <c r="F80" s="27" t="s">
        <v>151</v>
      </c>
      <c r="G80" s="27">
        <v>10</v>
      </c>
      <c r="H80" s="27" t="str">
        <f t="shared" si="4"/>
        <v>G;10</v>
      </c>
    </row>
    <row r="81" spans="1:8" x14ac:dyDescent="0.25">
      <c r="A81">
        <v>80</v>
      </c>
      <c r="B81">
        <v>11</v>
      </c>
      <c r="C81">
        <v>4</v>
      </c>
      <c r="D81" s="1" t="str">
        <f t="shared" si="3"/>
        <v>11;4</v>
      </c>
      <c r="E81" s="27" t="str">
        <f>IF('Sample Namen'!J$11=H81,A81,"")</f>
        <v/>
      </c>
      <c r="F81" s="27" t="s">
        <v>152</v>
      </c>
      <c r="G81" s="27">
        <v>10</v>
      </c>
      <c r="H81" s="27" t="str">
        <f t="shared" si="4"/>
        <v>H;10</v>
      </c>
    </row>
    <row r="82" spans="1:8" x14ac:dyDescent="0.25">
      <c r="A82">
        <v>81</v>
      </c>
      <c r="B82">
        <v>8</v>
      </c>
      <c r="C82">
        <v>3</v>
      </c>
      <c r="D82" s="1" t="str">
        <f t="shared" si="3"/>
        <v>8;3</v>
      </c>
      <c r="E82" s="27" t="str">
        <f>IF('Sample Namen'!J$11=H82,A82,"")</f>
        <v/>
      </c>
      <c r="F82" s="27" t="s">
        <v>145</v>
      </c>
      <c r="G82" s="27">
        <v>11</v>
      </c>
      <c r="H82" s="27" t="str">
        <f t="shared" si="4"/>
        <v>A;11</v>
      </c>
    </row>
    <row r="83" spans="1:8" x14ac:dyDescent="0.25">
      <c r="A83">
        <v>82</v>
      </c>
      <c r="B83">
        <v>10</v>
      </c>
      <c r="C83">
        <v>2</v>
      </c>
      <c r="D83" s="1" t="str">
        <f t="shared" si="3"/>
        <v>10;2</v>
      </c>
      <c r="E83" s="27" t="str">
        <f>IF('Sample Namen'!J$11=H83,A83,"")</f>
        <v/>
      </c>
      <c r="F83" s="27" t="s">
        <v>146</v>
      </c>
      <c r="G83" s="27">
        <v>11</v>
      </c>
      <c r="H83" s="27" t="str">
        <f t="shared" si="4"/>
        <v>B;11</v>
      </c>
    </row>
    <row r="84" spans="1:8" x14ac:dyDescent="0.25">
      <c r="A84">
        <v>83</v>
      </c>
      <c r="B84">
        <v>7</v>
      </c>
      <c r="C84">
        <v>7</v>
      </c>
      <c r="D84" s="1" t="str">
        <f t="shared" si="3"/>
        <v>7;7</v>
      </c>
      <c r="E84" s="27" t="str">
        <f>IF('Sample Namen'!J$11=H84,A84,"")</f>
        <v/>
      </c>
      <c r="F84" s="27" t="s">
        <v>147</v>
      </c>
      <c r="G84" s="27">
        <v>11</v>
      </c>
      <c r="H84" s="27" t="str">
        <f t="shared" si="4"/>
        <v>C;11</v>
      </c>
    </row>
    <row r="85" spans="1:8" x14ac:dyDescent="0.25">
      <c r="A85">
        <v>84</v>
      </c>
      <c r="B85">
        <v>2</v>
      </c>
      <c r="C85">
        <v>1</v>
      </c>
      <c r="D85" s="1" t="str">
        <f t="shared" si="3"/>
        <v>2;1</v>
      </c>
      <c r="E85" s="27" t="str">
        <f>IF('Sample Namen'!J$11=H85,A85,"")</f>
        <v/>
      </c>
      <c r="F85" s="27" t="s">
        <v>148</v>
      </c>
      <c r="G85" s="27">
        <v>11</v>
      </c>
      <c r="H85" s="27" t="str">
        <f t="shared" si="4"/>
        <v>D;11</v>
      </c>
    </row>
    <row r="86" spans="1:8" x14ac:dyDescent="0.25">
      <c r="A86">
        <v>85</v>
      </c>
      <c r="B86">
        <v>6</v>
      </c>
      <c r="C86">
        <v>6</v>
      </c>
      <c r="D86" s="1" t="str">
        <f t="shared" si="3"/>
        <v>6;6</v>
      </c>
      <c r="E86" s="27" t="str">
        <f>IF('Sample Namen'!J$11=H86,A86,"")</f>
        <v/>
      </c>
      <c r="F86" s="27" t="s">
        <v>149</v>
      </c>
      <c r="G86" s="27">
        <v>11</v>
      </c>
      <c r="H86" s="27" t="str">
        <f t="shared" si="4"/>
        <v>E;11</v>
      </c>
    </row>
    <row r="87" spans="1:8" x14ac:dyDescent="0.25">
      <c r="A87">
        <v>86</v>
      </c>
      <c r="B87">
        <v>9</v>
      </c>
      <c r="C87">
        <v>4</v>
      </c>
      <c r="D87" s="1" t="str">
        <f t="shared" si="3"/>
        <v>9;4</v>
      </c>
      <c r="E87" s="27" t="str">
        <f>IF('Sample Namen'!J$11=H87,A87,"")</f>
        <v/>
      </c>
      <c r="F87" s="27" t="s">
        <v>150</v>
      </c>
      <c r="G87" s="27">
        <v>11</v>
      </c>
      <c r="H87" s="27" t="str">
        <f t="shared" si="4"/>
        <v>F;11</v>
      </c>
    </row>
    <row r="88" spans="1:8" x14ac:dyDescent="0.25">
      <c r="A88">
        <v>87</v>
      </c>
      <c r="B88">
        <v>11</v>
      </c>
      <c r="C88">
        <v>8</v>
      </c>
      <c r="D88" s="1" t="str">
        <f t="shared" si="3"/>
        <v>11;8</v>
      </c>
      <c r="E88" s="27" t="str">
        <f>IF('Sample Namen'!J$11=H88,A88,"")</f>
        <v/>
      </c>
      <c r="F88" s="27" t="s">
        <v>151</v>
      </c>
      <c r="G88" s="27">
        <v>11</v>
      </c>
      <c r="H88" s="27" t="str">
        <f t="shared" si="4"/>
        <v>G;11</v>
      </c>
    </row>
    <row r="89" spans="1:8" x14ac:dyDescent="0.25">
      <c r="A89">
        <v>88</v>
      </c>
      <c r="B89">
        <v>5</v>
      </c>
      <c r="C89">
        <v>5</v>
      </c>
      <c r="D89" s="1" t="str">
        <f t="shared" si="3"/>
        <v>5;5</v>
      </c>
      <c r="E89" s="27" t="str">
        <f>IF('Sample Namen'!J$11=H89,A89,"")</f>
        <v/>
      </c>
      <c r="F89" s="27" t="s">
        <v>152</v>
      </c>
      <c r="G89" s="27">
        <v>11</v>
      </c>
      <c r="H89" s="27" t="str">
        <f t="shared" si="4"/>
        <v>H;11</v>
      </c>
    </row>
    <row r="90" spans="1:8" x14ac:dyDescent="0.25">
      <c r="A90">
        <v>89</v>
      </c>
      <c r="B90">
        <v>10</v>
      </c>
      <c r="C90">
        <v>7</v>
      </c>
      <c r="D90" s="1" t="str">
        <f t="shared" si="3"/>
        <v>10;7</v>
      </c>
      <c r="E90" s="27" t="str">
        <f>IF('Sample Namen'!J$11=H90,A90,"")</f>
        <v/>
      </c>
      <c r="F90" s="27" t="s">
        <v>145</v>
      </c>
      <c r="G90" s="27">
        <v>12</v>
      </c>
      <c r="H90" s="27" t="str">
        <f t="shared" si="4"/>
        <v>A;12</v>
      </c>
    </row>
    <row r="91" spans="1:8" x14ac:dyDescent="0.25">
      <c r="A91">
        <v>90</v>
      </c>
      <c r="B91">
        <v>7</v>
      </c>
      <c r="C91">
        <v>3</v>
      </c>
      <c r="D91" s="1" t="str">
        <f t="shared" si="3"/>
        <v>7;3</v>
      </c>
      <c r="E91" s="27" t="str">
        <f>IF('Sample Namen'!J$11=H91,A91,"")</f>
        <v/>
      </c>
      <c r="F91" s="27" t="s">
        <v>146</v>
      </c>
      <c r="G91" s="27">
        <v>12</v>
      </c>
      <c r="H91" s="27" t="str">
        <f t="shared" si="4"/>
        <v>B;12</v>
      </c>
    </row>
    <row r="92" spans="1:8" x14ac:dyDescent="0.25">
      <c r="A92">
        <v>91</v>
      </c>
      <c r="B92">
        <v>8</v>
      </c>
      <c r="C92">
        <v>2</v>
      </c>
      <c r="D92" s="1" t="str">
        <f t="shared" si="3"/>
        <v>8;2</v>
      </c>
      <c r="E92" s="27" t="str">
        <f>IF('Sample Namen'!J$11=H92,A92,"")</f>
        <v/>
      </c>
      <c r="F92" s="27" t="s">
        <v>147</v>
      </c>
      <c r="G92" s="27">
        <v>12</v>
      </c>
      <c r="H92" s="27" t="str">
        <f t="shared" si="4"/>
        <v>C;12</v>
      </c>
    </row>
    <row r="93" spans="1:8" x14ac:dyDescent="0.25">
      <c r="A93">
        <v>92</v>
      </c>
      <c r="B93">
        <v>3</v>
      </c>
      <c r="C93">
        <v>1</v>
      </c>
      <c r="D93" s="1" t="str">
        <f t="shared" si="3"/>
        <v>3;1</v>
      </c>
      <c r="E93" s="27" t="str">
        <f>IF('Sample Namen'!J$11=H93,A93,"")</f>
        <v/>
      </c>
      <c r="F93" s="27" t="s">
        <v>148</v>
      </c>
      <c r="G93" s="27">
        <v>12</v>
      </c>
      <c r="H93" s="27" t="str">
        <f t="shared" si="4"/>
        <v>D;12</v>
      </c>
    </row>
    <row r="94" spans="1:8" x14ac:dyDescent="0.25">
      <c r="A94">
        <v>93</v>
      </c>
      <c r="B94">
        <v>12</v>
      </c>
      <c r="C94">
        <v>6</v>
      </c>
      <c r="D94" s="1" t="str">
        <f t="shared" si="3"/>
        <v>12;6</v>
      </c>
      <c r="E94" s="27" t="str">
        <f>IF('Sample Namen'!J$11=H94,A94,"")</f>
        <v/>
      </c>
      <c r="F94" s="27" t="s">
        <v>149</v>
      </c>
      <c r="G94" s="27">
        <v>12</v>
      </c>
      <c r="H94" s="27" t="str">
        <f t="shared" si="4"/>
        <v>E;12</v>
      </c>
    </row>
    <row r="95" spans="1:8" x14ac:dyDescent="0.25">
      <c r="A95">
        <v>94</v>
      </c>
      <c r="B95">
        <v>11</v>
      </c>
      <c r="C95">
        <v>5</v>
      </c>
      <c r="D95" s="1" t="str">
        <f t="shared" si="3"/>
        <v>11;5</v>
      </c>
      <c r="E95" s="27" t="str">
        <f>IF('Sample Namen'!J$11=H95,A95,"")</f>
        <v/>
      </c>
      <c r="F95" s="27" t="s">
        <v>150</v>
      </c>
      <c r="G95" s="27">
        <v>12</v>
      </c>
      <c r="H95" s="27" t="str">
        <f t="shared" si="4"/>
        <v>F;12</v>
      </c>
    </row>
    <row r="96" spans="1:8" x14ac:dyDescent="0.25">
      <c r="A96">
        <v>95</v>
      </c>
      <c r="B96">
        <v>5</v>
      </c>
      <c r="C96">
        <v>4</v>
      </c>
      <c r="D96" s="1" t="str">
        <f t="shared" si="3"/>
        <v>5;4</v>
      </c>
      <c r="E96" s="27" t="str">
        <f>IF('Sample Namen'!J$11=H96,A96,"")</f>
        <v/>
      </c>
      <c r="F96" s="27" t="s">
        <v>151</v>
      </c>
      <c r="G96" s="27">
        <v>12</v>
      </c>
      <c r="H96" s="27" t="str">
        <f t="shared" si="4"/>
        <v>G;12</v>
      </c>
    </row>
    <row r="97" spans="1:8" x14ac:dyDescent="0.25">
      <c r="A97">
        <v>96</v>
      </c>
      <c r="B97">
        <v>9</v>
      </c>
      <c r="C97">
        <v>8</v>
      </c>
      <c r="D97" s="1" t="str">
        <f t="shared" si="3"/>
        <v>9;8</v>
      </c>
      <c r="E97" s="27" t="str">
        <f>IF('Sample Namen'!J$11=H97,A97,"")</f>
        <v/>
      </c>
      <c r="F97" s="27" t="s">
        <v>152</v>
      </c>
      <c r="G97" s="27">
        <v>12</v>
      </c>
      <c r="H97" s="27" t="str">
        <f t="shared" si="4"/>
        <v>H;12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13"/>
  <sheetViews>
    <sheetView workbookViewId="0"/>
  </sheetViews>
  <sheetFormatPr defaultColWidth="11" defaultRowHeight="15.75" x14ac:dyDescent="0.25"/>
  <sheetData>
    <row r="1" spans="1:8" s="2" customFormat="1" x14ac:dyDescent="0.25">
      <c r="A1" s="2" t="s">
        <v>49</v>
      </c>
      <c r="B1" s="2" t="s">
        <v>52</v>
      </c>
      <c r="C1" s="2" t="s">
        <v>50</v>
      </c>
      <c r="D1" s="2" t="s">
        <v>84</v>
      </c>
      <c r="E1" s="2" t="s">
        <v>100</v>
      </c>
      <c r="F1" s="2" t="s">
        <v>27</v>
      </c>
      <c r="G1" s="2" t="s">
        <v>143</v>
      </c>
      <c r="H1" s="2" t="s">
        <v>144</v>
      </c>
    </row>
    <row r="2" spans="1:8" x14ac:dyDescent="0.25">
      <c r="A2" t="s">
        <v>48</v>
      </c>
      <c r="B2" t="s">
        <v>53</v>
      </c>
      <c r="C2" t="s">
        <v>68</v>
      </c>
      <c r="D2" t="s">
        <v>86</v>
      </c>
      <c r="E2" t="s">
        <v>101</v>
      </c>
      <c r="F2" t="s">
        <v>103</v>
      </c>
      <c r="G2" s="27" t="s">
        <v>145</v>
      </c>
      <c r="H2" s="27">
        <v>1</v>
      </c>
    </row>
    <row r="3" spans="1:8" x14ac:dyDescent="0.25">
      <c r="A3" t="s">
        <v>75</v>
      </c>
      <c r="B3" t="s">
        <v>55</v>
      </c>
      <c r="C3" t="s">
        <v>51</v>
      </c>
      <c r="D3" t="s">
        <v>85</v>
      </c>
      <c r="E3" t="s">
        <v>102</v>
      </c>
      <c r="F3" t="s">
        <v>104</v>
      </c>
      <c r="G3" s="27" t="s">
        <v>146</v>
      </c>
      <c r="H3" s="27">
        <v>2</v>
      </c>
    </row>
    <row r="4" spans="1:8" x14ac:dyDescent="0.25">
      <c r="A4" t="s">
        <v>76</v>
      </c>
      <c r="B4" t="s">
        <v>56</v>
      </c>
      <c r="C4" t="s">
        <v>69</v>
      </c>
      <c r="D4" t="s">
        <v>96</v>
      </c>
      <c r="G4" s="27" t="s">
        <v>147</v>
      </c>
      <c r="H4" s="27">
        <v>3</v>
      </c>
    </row>
    <row r="5" spans="1:8" x14ac:dyDescent="0.25">
      <c r="A5" t="s">
        <v>109</v>
      </c>
      <c r="B5" t="s">
        <v>99</v>
      </c>
      <c r="C5" t="s">
        <v>70</v>
      </c>
      <c r="D5" t="s">
        <v>156</v>
      </c>
      <c r="G5" s="27" t="s">
        <v>148</v>
      </c>
      <c r="H5" s="27">
        <v>4</v>
      </c>
    </row>
    <row r="6" spans="1:8" x14ac:dyDescent="0.25">
      <c r="A6" t="s">
        <v>110</v>
      </c>
      <c r="B6" t="s">
        <v>57</v>
      </c>
      <c r="C6" t="s">
        <v>71</v>
      </c>
      <c r="G6" s="27" t="s">
        <v>149</v>
      </c>
      <c r="H6" s="27">
        <v>5</v>
      </c>
    </row>
    <row r="7" spans="1:8" x14ac:dyDescent="0.25">
      <c r="A7" t="s">
        <v>111</v>
      </c>
      <c r="B7" t="s">
        <v>58</v>
      </c>
      <c r="C7" t="s">
        <v>72</v>
      </c>
      <c r="G7" s="27" t="s">
        <v>150</v>
      </c>
      <c r="H7" s="27">
        <v>6</v>
      </c>
    </row>
    <row r="8" spans="1:8" x14ac:dyDescent="0.25">
      <c r="B8" t="s">
        <v>59</v>
      </c>
      <c r="C8" t="s">
        <v>73</v>
      </c>
      <c r="G8" s="27" t="s">
        <v>151</v>
      </c>
      <c r="H8" s="27">
        <v>7</v>
      </c>
    </row>
    <row r="9" spans="1:8" x14ac:dyDescent="0.25">
      <c r="B9" t="s">
        <v>112</v>
      </c>
      <c r="C9" t="s">
        <v>97</v>
      </c>
      <c r="G9" s="27" t="s">
        <v>152</v>
      </c>
      <c r="H9" s="27">
        <v>8</v>
      </c>
    </row>
    <row r="10" spans="1:8" x14ac:dyDescent="0.25">
      <c r="B10" t="s">
        <v>113</v>
      </c>
      <c r="C10" t="s">
        <v>98</v>
      </c>
      <c r="G10" s="27"/>
      <c r="H10" s="27">
        <v>9</v>
      </c>
    </row>
    <row r="11" spans="1:8" x14ac:dyDescent="0.25">
      <c r="C11" t="s">
        <v>93</v>
      </c>
      <c r="G11" s="27"/>
      <c r="H11" s="27">
        <v>10</v>
      </c>
    </row>
    <row r="12" spans="1:8" x14ac:dyDescent="0.25">
      <c r="C12" t="s">
        <v>74</v>
      </c>
      <c r="G12" s="27"/>
      <c r="H12" s="27">
        <v>11</v>
      </c>
    </row>
    <row r="13" spans="1:8" x14ac:dyDescent="0.25">
      <c r="G13" s="27"/>
      <c r="H13" s="27">
        <v>12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9"/>
  <sheetViews>
    <sheetView topLeftCell="A11" workbookViewId="0">
      <selection activeCell="A11" sqref="A11"/>
    </sheetView>
  </sheetViews>
  <sheetFormatPr defaultRowHeight="15.75" x14ac:dyDescent="0.25"/>
  <cols>
    <col min="1" max="13" width="3.625" style="36" customWidth="1"/>
    <col min="14" max="16384" width="9" style="36"/>
  </cols>
  <sheetData>
    <row r="1" spans="1:13" hidden="1" x14ac:dyDescent="0.25">
      <c r="B1" s="36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H1" s="36">
        <v>7</v>
      </c>
      <c r="I1" s="36">
        <v>8</v>
      </c>
      <c r="J1" s="36">
        <v>9</v>
      </c>
      <c r="K1" s="36">
        <v>10</v>
      </c>
      <c r="L1" s="36">
        <v>11</v>
      </c>
      <c r="M1" s="36">
        <v>12</v>
      </c>
    </row>
    <row r="2" spans="1:13" hidden="1" x14ac:dyDescent="0.25">
      <c r="A2" s="37" t="s">
        <v>145</v>
      </c>
      <c r="B2" s="37">
        <v>1</v>
      </c>
      <c r="C2" s="38">
        <v>9</v>
      </c>
      <c r="D2" s="38">
        <v>17</v>
      </c>
      <c r="E2" s="38">
        <v>25</v>
      </c>
      <c r="F2" s="38">
        <v>33</v>
      </c>
      <c r="G2" s="38">
        <v>41</v>
      </c>
      <c r="H2" s="38">
        <v>49</v>
      </c>
      <c r="I2" s="38">
        <v>57</v>
      </c>
      <c r="J2" s="38">
        <v>65</v>
      </c>
      <c r="K2" s="38">
        <v>73</v>
      </c>
      <c r="L2" s="38">
        <v>81</v>
      </c>
      <c r="M2" s="39">
        <v>89</v>
      </c>
    </row>
    <row r="3" spans="1:13" hidden="1" x14ac:dyDescent="0.25">
      <c r="A3" s="40" t="s">
        <v>146</v>
      </c>
      <c r="B3" s="40">
        <v>2</v>
      </c>
      <c r="C3" s="41">
        <v>10</v>
      </c>
      <c r="D3" s="41">
        <v>18</v>
      </c>
      <c r="E3" s="41">
        <v>26</v>
      </c>
      <c r="F3" s="41">
        <v>34</v>
      </c>
      <c r="G3" s="41">
        <v>42</v>
      </c>
      <c r="H3" s="41">
        <v>50</v>
      </c>
      <c r="I3" s="41">
        <v>58</v>
      </c>
      <c r="J3" s="41">
        <v>66</v>
      </c>
      <c r="K3" s="41">
        <v>74</v>
      </c>
      <c r="L3" s="41">
        <v>82</v>
      </c>
      <c r="M3" s="42">
        <v>90</v>
      </c>
    </row>
    <row r="4" spans="1:13" hidden="1" x14ac:dyDescent="0.25">
      <c r="A4" s="40" t="s">
        <v>147</v>
      </c>
      <c r="B4" s="40">
        <v>3</v>
      </c>
      <c r="C4" s="41">
        <v>11</v>
      </c>
      <c r="D4" s="41">
        <v>19</v>
      </c>
      <c r="E4" s="41">
        <v>27</v>
      </c>
      <c r="F4" s="41">
        <v>35</v>
      </c>
      <c r="G4" s="41">
        <v>43</v>
      </c>
      <c r="H4" s="41">
        <v>51</v>
      </c>
      <c r="I4" s="41">
        <v>59</v>
      </c>
      <c r="J4" s="41">
        <v>67</v>
      </c>
      <c r="K4" s="41">
        <v>75</v>
      </c>
      <c r="L4" s="41">
        <v>83</v>
      </c>
      <c r="M4" s="42">
        <v>91</v>
      </c>
    </row>
    <row r="5" spans="1:13" hidden="1" x14ac:dyDescent="0.25">
      <c r="A5" s="40" t="s">
        <v>148</v>
      </c>
      <c r="B5" s="40">
        <v>4</v>
      </c>
      <c r="C5" s="41">
        <v>12</v>
      </c>
      <c r="D5" s="41">
        <v>20</v>
      </c>
      <c r="E5" s="41">
        <v>28</v>
      </c>
      <c r="F5" s="41">
        <v>36</v>
      </c>
      <c r="G5" s="41">
        <v>44</v>
      </c>
      <c r="H5" s="41">
        <v>52</v>
      </c>
      <c r="I5" s="41">
        <v>60</v>
      </c>
      <c r="J5" s="41">
        <v>68</v>
      </c>
      <c r="K5" s="41">
        <v>76</v>
      </c>
      <c r="L5" s="41">
        <v>84</v>
      </c>
      <c r="M5" s="42">
        <v>92</v>
      </c>
    </row>
    <row r="6" spans="1:13" hidden="1" x14ac:dyDescent="0.25">
      <c r="A6" s="40" t="s">
        <v>149</v>
      </c>
      <c r="B6" s="40">
        <v>5</v>
      </c>
      <c r="C6" s="41">
        <v>13</v>
      </c>
      <c r="D6" s="41">
        <v>21</v>
      </c>
      <c r="E6" s="41">
        <v>29</v>
      </c>
      <c r="F6" s="41">
        <v>37</v>
      </c>
      <c r="G6" s="41">
        <v>45</v>
      </c>
      <c r="H6" s="41">
        <v>53</v>
      </c>
      <c r="I6" s="41">
        <v>61</v>
      </c>
      <c r="J6" s="41">
        <v>69</v>
      </c>
      <c r="K6" s="41">
        <v>77</v>
      </c>
      <c r="L6" s="41">
        <v>85</v>
      </c>
      <c r="M6" s="42">
        <v>93</v>
      </c>
    </row>
    <row r="7" spans="1:13" hidden="1" x14ac:dyDescent="0.25">
      <c r="A7" s="40" t="s">
        <v>150</v>
      </c>
      <c r="B7" s="40">
        <v>6</v>
      </c>
      <c r="C7" s="41">
        <v>14</v>
      </c>
      <c r="D7" s="41">
        <v>22</v>
      </c>
      <c r="E7" s="41">
        <v>30</v>
      </c>
      <c r="F7" s="41">
        <v>38</v>
      </c>
      <c r="G7" s="41">
        <v>46</v>
      </c>
      <c r="H7" s="41">
        <v>54</v>
      </c>
      <c r="I7" s="41">
        <v>62</v>
      </c>
      <c r="J7" s="41">
        <v>70</v>
      </c>
      <c r="K7" s="41">
        <v>78</v>
      </c>
      <c r="L7" s="41">
        <v>86</v>
      </c>
      <c r="M7" s="42">
        <v>94</v>
      </c>
    </row>
    <row r="8" spans="1:13" hidden="1" x14ac:dyDescent="0.25">
      <c r="A8" s="40" t="s">
        <v>151</v>
      </c>
      <c r="B8" s="40">
        <v>7</v>
      </c>
      <c r="C8" s="41">
        <v>15</v>
      </c>
      <c r="D8" s="41">
        <v>23</v>
      </c>
      <c r="E8" s="41">
        <v>31</v>
      </c>
      <c r="F8" s="41">
        <v>39</v>
      </c>
      <c r="G8" s="41">
        <v>47</v>
      </c>
      <c r="H8" s="41">
        <v>55</v>
      </c>
      <c r="I8" s="41">
        <v>63</v>
      </c>
      <c r="J8" s="41">
        <v>71</v>
      </c>
      <c r="K8" s="41">
        <v>79</v>
      </c>
      <c r="L8" s="41">
        <v>87</v>
      </c>
      <c r="M8" s="42">
        <v>95</v>
      </c>
    </row>
    <row r="9" spans="1:13" hidden="1" x14ac:dyDescent="0.25">
      <c r="A9" s="43" t="s">
        <v>152</v>
      </c>
      <c r="B9" s="43">
        <v>8</v>
      </c>
      <c r="C9" s="44">
        <v>16</v>
      </c>
      <c r="D9" s="44">
        <v>24</v>
      </c>
      <c r="E9" s="44">
        <v>32</v>
      </c>
      <c r="F9" s="44">
        <v>40</v>
      </c>
      <c r="G9" s="44">
        <v>48</v>
      </c>
      <c r="H9" s="44">
        <v>56</v>
      </c>
      <c r="I9" s="44">
        <v>64</v>
      </c>
      <c r="J9" s="44">
        <v>72</v>
      </c>
      <c r="K9" s="44">
        <v>80</v>
      </c>
      <c r="L9" s="44">
        <v>88</v>
      </c>
      <c r="M9" s="45">
        <v>96</v>
      </c>
    </row>
    <row r="10" spans="1:13" hidden="1" x14ac:dyDescent="0.25"/>
    <row r="11" spans="1:13" ht="16.5" thickBot="1" x14ac:dyDescent="0.3">
      <c r="A11" s="46"/>
      <c r="B11" s="47">
        <v>1</v>
      </c>
      <c r="C11" s="48">
        <v>2</v>
      </c>
      <c r="D11" s="48">
        <v>3</v>
      </c>
      <c r="E11" s="48">
        <v>4</v>
      </c>
      <c r="F11" s="48">
        <v>5</v>
      </c>
      <c r="G11" s="48">
        <v>6</v>
      </c>
      <c r="H11" s="48">
        <v>7</v>
      </c>
      <c r="I11" s="48">
        <v>8</v>
      </c>
      <c r="J11" s="48">
        <v>9</v>
      </c>
      <c r="K11" s="48">
        <v>10</v>
      </c>
      <c r="L11" s="48">
        <v>11</v>
      </c>
      <c r="M11" s="48">
        <v>12</v>
      </c>
    </row>
    <row r="12" spans="1:13" x14ac:dyDescent="0.25">
      <c r="A12" s="49" t="s">
        <v>145</v>
      </c>
      <c r="B12" s="50" t="str">
        <f t="shared" ref="B12:M12" si="0">IFERROR(MATCH(B2,indices_used,0),"")</f>
        <v/>
      </c>
      <c r="C12" s="51" t="str">
        <f t="shared" si="0"/>
        <v/>
      </c>
      <c r="D12" s="51" t="str">
        <f t="shared" si="0"/>
        <v/>
      </c>
      <c r="E12" s="51" t="str">
        <f t="shared" si="0"/>
        <v/>
      </c>
      <c r="F12" s="51" t="str">
        <f t="shared" si="0"/>
        <v/>
      </c>
      <c r="G12" s="51" t="str">
        <f t="shared" si="0"/>
        <v/>
      </c>
      <c r="H12" s="51" t="str">
        <f t="shared" si="0"/>
        <v/>
      </c>
      <c r="I12" s="51" t="str">
        <f t="shared" si="0"/>
        <v/>
      </c>
      <c r="J12" s="51" t="str">
        <f t="shared" si="0"/>
        <v/>
      </c>
      <c r="K12" s="51" t="str">
        <f t="shared" si="0"/>
        <v/>
      </c>
      <c r="L12" s="51" t="str">
        <f t="shared" si="0"/>
        <v/>
      </c>
      <c r="M12" s="52" t="str">
        <f t="shared" si="0"/>
        <v/>
      </c>
    </row>
    <row r="13" spans="1:13" x14ac:dyDescent="0.25">
      <c r="A13" s="49" t="s">
        <v>146</v>
      </c>
      <c r="B13" s="53" t="str">
        <f t="shared" ref="B13:M13" si="1">IFERROR(MATCH(B3,indices_used,0),"")</f>
        <v/>
      </c>
      <c r="C13" s="46" t="str">
        <f t="shared" si="1"/>
        <v/>
      </c>
      <c r="D13" s="46" t="str">
        <f t="shared" si="1"/>
        <v/>
      </c>
      <c r="E13" s="46" t="str">
        <f t="shared" si="1"/>
        <v/>
      </c>
      <c r="F13" s="46" t="str">
        <f t="shared" si="1"/>
        <v/>
      </c>
      <c r="G13" s="46" t="str">
        <f t="shared" si="1"/>
        <v/>
      </c>
      <c r="H13" s="46" t="str">
        <f t="shared" si="1"/>
        <v/>
      </c>
      <c r="I13" s="46" t="str">
        <f t="shared" si="1"/>
        <v/>
      </c>
      <c r="J13" s="46" t="str">
        <f t="shared" si="1"/>
        <v/>
      </c>
      <c r="K13" s="46" t="str">
        <f t="shared" si="1"/>
        <v/>
      </c>
      <c r="L13" s="46" t="str">
        <f t="shared" si="1"/>
        <v/>
      </c>
      <c r="M13" s="54" t="str">
        <f t="shared" si="1"/>
        <v/>
      </c>
    </row>
    <row r="14" spans="1:13" x14ac:dyDescent="0.25">
      <c r="A14" s="49" t="s">
        <v>147</v>
      </c>
      <c r="B14" s="53" t="str">
        <f t="shared" ref="B14:M14" si="2">IFERROR(MATCH(B4,indices_used,0),"")</f>
        <v/>
      </c>
      <c r="C14" s="46" t="str">
        <f t="shared" si="2"/>
        <v/>
      </c>
      <c r="D14" s="46" t="str">
        <f t="shared" si="2"/>
        <v/>
      </c>
      <c r="E14" s="46" t="str">
        <f t="shared" si="2"/>
        <v/>
      </c>
      <c r="F14" s="46" t="str">
        <f t="shared" si="2"/>
        <v/>
      </c>
      <c r="G14" s="46" t="str">
        <f t="shared" si="2"/>
        <v/>
      </c>
      <c r="H14" s="46" t="str">
        <f t="shared" si="2"/>
        <v/>
      </c>
      <c r="I14" s="46" t="str">
        <f t="shared" si="2"/>
        <v/>
      </c>
      <c r="J14" s="46" t="str">
        <f t="shared" si="2"/>
        <v/>
      </c>
      <c r="K14" s="46" t="str">
        <f t="shared" si="2"/>
        <v/>
      </c>
      <c r="L14" s="46" t="str">
        <f t="shared" si="2"/>
        <v/>
      </c>
      <c r="M14" s="54" t="str">
        <f t="shared" si="2"/>
        <v/>
      </c>
    </row>
    <row r="15" spans="1:13" x14ac:dyDescent="0.25">
      <c r="A15" s="49" t="s">
        <v>148</v>
      </c>
      <c r="B15" s="53" t="str">
        <f t="shared" ref="B15:M15" si="3">IFERROR(MATCH(B5,indices_used,0),"")</f>
        <v/>
      </c>
      <c r="C15" s="46" t="str">
        <f t="shared" si="3"/>
        <v/>
      </c>
      <c r="D15" s="46" t="str">
        <f t="shared" si="3"/>
        <v/>
      </c>
      <c r="E15" s="46" t="str">
        <f t="shared" si="3"/>
        <v/>
      </c>
      <c r="F15" s="46" t="str">
        <f t="shared" si="3"/>
        <v/>
      </c>
      <c r="G15" s="46" t="str">
        <f t="shared" si="3"/>
        <v/>
      </c>
      <c r="H15" s="46" t="str">
        <f t="shared" si="3"/>
        <v/>
      </c>
      <c r="I15" s="46" t="str">
        <f t="shared" si="3"/>
        <v/>
      </c>
      <c r="J15" s="46" t="str">
        <f t="shared" si="3"/>
        <v/>
      </c>
      <c r="K15" s="46" t="str">
        <f t="shared" si="3"/>
        <v/>
      </c>
      <c r="L15" s="46" t="str">
        <f t="shared" si="3"/>
        <v/>
      </c>
      <c r="M15" s="54" t="str">
        <f t="shared" si="3"/>
        <v/>
      </c>
    </row>
    <row r="16" spans="1:13" x14ac:dyDescent="0.25">
      <c r="A16" s="49" t="s">
        <v>149</v>
      </c>
      <c r="B16" s="53" t="str">
        <f t="shared" ref="B16:M16" si="4">IFERROR(MATCH(B6,indices_used,0),"")</f>
        <v/>
      </c>
      <c r="C16" s="46" t="str">
        <f t="shared" si="4"/>
        <v/>
      </c>
      <c r="D16" s="46" t="str">
        <f t="shared" si="4"/>
        <v/>
      </c>
      <c r="E16" s="46" t="str">
        <f t="shared" si="4"/>
        <v/>
      </c>
      <c r="F16" s="46" t="str">
        <f t="shared" si="4"/>
        <v/>
      </c>
      <c r="G16" s="46" t="str">
        <f t="shared" si="4"/>
        <v/>
      </c>
      <c r="H16" s="46" t="str">
        <f t="shared" si="4"/>
        <v/>
      </c>
      <c r="I16" s="46" t="str">
        <f t="shared" si="4"/>
        <v/>
      </c>
      <c r="J16" s="46" t="str">
        <f t="shared" si="4"/>
        <v/>
      </c>
      <c r="K16" s="46" t="str">
        <f t="shared" si="4"/>
        <v/>
      </c>
      <c r="L16" s="46" t="str">
        <f t="shared" si="4"/>
        <v/>
      </c>
      <c r="M16" s="54" t="str">
        <f t="shared" si="4"/>
        <v/>
      </c>
    </row>
    <row r="17" spans="1:13" x14ac:dyDescent="0.25">
      <c r="A17" s="49" t="s">
        <v>150</v>
      </c>
      <c r="B17" s="53" t="str">
        <f t="shared" ref="B17:M17" si="5">IFERROR(MATCH(B7,indices_used,0),"")</f>
        <v/>
      </c>
      <c r="C17" s="46" t="str">
        <f t="shared" si="5"/>
        <v/>
      </c>
      <c r="D17" s="46" t="str">
        <f t="shared" si="5"/>
        <v/>
      </c>
      <c r="E17" s="46" t="str">
        <f t="shared" si="5"/>
        <v/>
      </c>
      <c r="F17" s="46" t="str">
        <f t="shared" si="5"/>
        <v/>
      </c>
      <c r="G17" s="46" t="str">
        <f t="shared" si="5"/>
        <v/>
      </c>
      <c r="H17" s="46" t="str">
        <f t="shared" si="5"/>
        <v/>
      </c>
      <c r="I17" s="46" t="str">
        <f t="shared" si="5"/>
        <v/>
      </c>
      <c r="J17" s="46" t="str">
        <f t="shared" si="5"/>
        <v/>
      </c>
      <c r="K17" s="46" t="str">
        <f t="shared" si="5"/>
        <v/>
      </c>
      <c r="L17" s="46" t="str">
        <f t="shared" si="5"/>
        <v/>
      </c>
      <c r="M17" s="54" t="str">
        <f t="shared" si="5"/>
        <v/>
      </c>
    </row>
    <row r="18" spans="1:13" x14ac:dyDescent="0.25">
      <c r="A18" s="49" t="s">
        <v>151</v>
      </c>
      <c r="B18" s="53" t="str">
        <f t="shared" ref="B18:M18" si="6">IFERROR(MATCH(B8,indices_used,0),"")</f>
        <v/>
      </c>
      <c r="C18" s="46" t="str">
        <f t="shared" si="6"/>
        <v/>
      </c>
      <c r="D18" s="46" t="str">
        <f t="shared" si="6"/>
        <v/>
      </c>
      <c r="E18" s="46" t="str">
        <f t="shared" si="6"/>
        <v/>
      </c>
      <c r="F18" s="46" t="str">
        <f t="shared" si="6"/>
        <v/>
      </c>
      <c r="G18" s="46" t="str">
        <f t="shared" si="6"/>
        <v/>
      </c>
      <c r="H18" s="46" t="str">
        <f t="shared" si="6"/>
        <v/>
      </c>
      <c r="I18" s="46" t="str">
        <f t="shared" si="6"/>
        <v/>
      </c>
      <c r="J18" s="46" t="str">
        <f t="shared" si="6"/>
        <v/>
      </c>
      <c r="K18" s="46" t="str">
        <f t="shared" si="6"/>
        <v/>
      </c>
      <c r="L18" s="46" t="str">
        <f t="shared" si="6"/>
        <v/>
      </c>
      <c r="M18" s="54" t="str">
        <f t="shared" si="6"/>
        <v/>
      </c>
    </row>
    <row r="19" spans="1:13" ht="16.5" thickBot="1" x14ac:dyDescent="0.3">
      <c r="A19" s="49" t="s">
        <v>152</v>
      </c>
      <c r="B19" s="55" t="str">
        <f t="shared" ref="B19:M19" si="7">IFERROR(MATCH(B9,indices_used,0),"")</f>
        <v/>
      </c>
      <c r="C19" s="56" t="str">
        <f t="shared" si="7"/>
        <v/>
      </c>
      <c r="D19" s="56" t="str">
        <f t="shared" si="7"/>
        <v/>
      </c>
      <c r="E19" s="56" t="str">
        <f t="shared" si="7"/>
        <v/>
      </c>
      <c r="F19" s="56" t="str">
        <f t="shared" si="7"/>
        <v/>
      </c>
      <c r="G19" s="56" t="str">
        <f t="shared" si="7"/>
        <v/>
      </c>
      <c r="H19" s="56" t="str">
        <f t="shared" si="7"/>
        <v/>
      </c>
      <c r="I19" s="56" t="str">
        <f t="shared" si="7"/>
        <v/>
      </c>
      <c r="J19" s="56" t="str">
        <f t="shared" si="7"/>
        <v/>
      </c>
      <c r="K19" s="56" t="str">
        <f t="shared" si="7"/>
        <v/>
      </c>
      <c r="L19" s="56" t="str">
        <f t="shared" si="7"/>
        <v/>
      </c>
      <c r="M19" s="57" t="str">
        <f t="shared" si="7"/>
        <v/>
      </c>
    </row>
  </sheetData>
  <sheetProtection sheet="1" objects="1" scenarios="1"/>
  <conditionalFormatting sqref="C12:M19">
    <cfRule type="notContainsBlanks" dxfId="1" priority="5">
      <formula>LEN(TRIM(C12))&gt;0</formula>
    </cfRule>
  </conditionalFormatting>
  <conditionalFormatting sqref="B12:B19">
    <cfRule type="notContainsBlanks" dxfId="0" priority="2">
      <formula>LEN(TRIM(B12))&gt;0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94</v>
      </c>
      <c r="B3" s="5" t="str">
        <f>IF(ISBLANK('Sample Namen'!L1),"",'Sample Namen'!L1)</f>
        <v/>
      </c>
    </row>
    <row r="4" spans="1:3" x14ac:dyDescent="0.25">
      <c r="A4" s="5" t="s">
        <v>95</v>
      </c>
      <c r="B4" s="5" t="str">
        <f>IF(ISBLANK('Sample Namen'!L2),"",'Sample Namen'!L2)</f>
        <v/>
      </c>
    </row>
    <row r="5" spans="1:3" x14ac:dyDescent="0.25">
      <c r="A5" s="5" t="s">
        <v>3</v>
      </c>
      <c r="B5" s="18" t="str">
        <f>IF(ISBLANK('Sample Namen'!L3),"",'Sample Namen'!L3)</f>
        <v/>
      </c>
      <c r="C5" s="18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Namen'!L4),"",'Sample Namen'!L4)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78</v>
      </c>
      <c r="B11" s="5" t="str">
        <f>IF(ISBLANK('Sample Namen'!L5),"",'Sample Namen'!L5)</f>
        <v/>
      </c>
    </row>
    <row r="12" spans="1:3" x14ac:dyDescent="0.25">
      <c r="A12" s="5" t="s">
        <v>79</v>
      </c>
      <c r="B12" s="5" t="str">
        <f>IF(ISBLANK('Sample Namen'!L6),"",'Sample Namen'!L6)</f>
        <v/>
      </c>
    </row>
    <row r="13" spans="1:3" x14ac:dyDescent="0.25">
      <c r="A13" s="5" t="s">
        <v>80</v>
      </c>
      <c r="B13" s="5" t="str">
        <f>IF(ISBLANK('Sample Namen'!L7),"",'Sample Namen'!L7)</f>
        <v/>
      </c>
    </row>
    <row r="14" spans="1:3" x14ac:dyDescent="0.25">
      <c r="A14" s="5" t="s">
        <v>81</v>
      </c>
      <c r="B14" s="5" t="s">
        <v>82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44</v>
      </c>
      <c r="L24" s="5" t="s">
        <v>46</v>
      </c>
      <c r="M24" s="5" t="s">
        <v>45</v>
      </c>
      <c r="N24" s="5" t="s">
        <v>67</v>
      </c>
      <c r="O24" s="5" t="s">
        <v>83</v>
      </c>
      <c r="P24" s="5" t="s">
        <v>106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Namen'!K15),"",'Sample Namen'!K15)</f>
        <v/>
      </c>
      <c r="F25" s="5" t="str">
        <f>IF(ISBLANK('Sample Namen'!M15),"",'Sample Namen'!M15)</f>
        <v/>
      </c>
      <c r="G25" s="5" t="str">
        <f>IF(ISBLANK('Sample Namen'!N15),"",'Sample Namen'!N15)</f>
        <v/>
      </c>
      <c r="H25" s="5" t="str">
        <f>IF(ISBLANK('Sample Namen'!P15),"",'Sample Namen'!P15)</f>
        <v/>
      </c>
      <c r="I25" s="5" t="str">
        <f>IF(OR(ISBLANK('Sample Namen'!B15),ISBLANK('Sample Namen'!Q15)),"",IF('Sample Namen'!Q15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Namen'!K16),"",'Sample Namen'!K16)</f>
        <v/>
      </c>
      <c r="F26" s="5" t="str">
        <f>IF(ISBLANK('Sample Namen'!M16),"",'Sample Namen'!M16)</f>
        <v/>
      </c>
      <c r="G26" s="5" t="str">
        <f>IF(ISBLANK('Sample Namen'!N16),"",'Sample Namen'!N16)</f>
        <v/>
      </c>
      <c r="H26" s="5" t="str">
        <f>IF(ISBLANK('Sample Namen'!P16),"",'Sample Namen'!P16)</f>
        <v/>
      </c>
      <c r="I26" s="5" t="str">
        <f>IF(OR(ISBLANK('Sample Namen'!B16),ISBLANK('Sample Namen'!Q16)),"",IF('Sample Namen'!Q16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Namen'!K17),"",'Sample Namen'!K17)</f>
        <v/>
      </c>
      <c r="F27" s="5" t="str">
        <f>IF(ISBLANK('Sample Namen'!M17),"",'Sample Namen'!M17)</f>
        <v/>
      </c>
      <c r="G27" s="5" t="str">
        <f>IF(ISBLANK('Sample Namen'!N17),"",'Sample Namen'!N17)</f>
        <v/>
      </c>
      <c r="H27" s="5" t="str">
        <f>IF(ISBLANK('Sample Namen'!P17),"",'Sample Namen'!P17)</f>
        <v/>
      </c>
      <c r="I27" s="5" t="str">
        <f>IF(OR(ISBLANK('Sample Namen'!B17),ISBLANK('Sample Namen'!Q17)),"",IF('Sample Namen'!Q17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Namen'!K18),"",'Sample Namen'!K18)</f>
        <v/>
      </c>
      <c r="F28" s="5" t="str">
        <f>IF(ISBLANK('Sample Namen'!M18),"",'Sample Namen'!M18)</f>
        <v/>
      </c>
      <c r="G28" s="5" t="str">
        <f>IF(ISBLANK('Sample Namen'!N18),"",'Sample Namen'!N18)</f>
        <v/>
      </c>
      <c r="H28" s="5" t="str">
        <f>IF(ISBLANK('Sample Namen'!P18),"",'Sample Namen'!P18)</f>
        <v/>
      </c>
      <c r="I28" s="5" t="str">
        <f>IF(OR(ISBLANK('Sample Namen'!B18),ISBLANK('Sample Namen'!Q18)),"",IF('Sample Namen'!Q18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Namen'!K19),"",'Sample Namen'!K19)</f>
        <v/>
      </c>
      <c r="F29" s="5" t="str">
        <f>IF(ISBLANK('Sample Namen'!M19),"",'Sample Namen'!M19)</f>
        <v/>
      </c>
      <c r="G29" s="5" t="str">
        <f>IF(ISBLANK('Sample Namen'!N19),"",'Sample Namen'!N19)</f>
        <v/>
      </c>
      <c r="H29" s="5" t="str">
        <f>IF(ISBLANK('Sample Namen'!P19),"",'Sample Namen'!P19)</f>
        <v/>
      </c>
      <c r="I29" s="5" t="str">
        <f>IF(OR(ISBLANK('Sample Namen'!B19),ISBLANK('Sample Namen'!Q19)),"",IF('Sample Namen'!Q19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Namen'!K20),"",'Sample Namen'!K20)</f>
        <v/>
      </c>
      <c r="F30" s="5" t="str">
        <f>IF(ISBLANK('Sample Namen'!M20),"",'Sample Namen'!M20)</f>
        <v/>
      </c>
      <c r="G30" s="5" t="str">
        <f>IF(ISBLANK('Sample Namen'!N20),"",'Sample Namen'!N20)</f>
        <v/>
      </c>
      <c r="H30" s="5" t="str">
        <f>IF(ISBLANK('Sample Namen'!P20),"",'Sample Namen'!P20)</f>
        <v/>
      </c>
      <c r="I30" s="5" t="str">
        <f>IF(OR(ISBLANK('Sample Namen'!B20),ISBLANK('Sample Namen'!Q20)),"",IF('Sample Namen'!Q20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Namen'!K21),"",'Sample Namen'!K21)</f>
        <v/>
      </c>
      <c r="F31" s="5" t="str">
        <f>IF(ISBLANK('Sample Namen'!M21),"",'Sample Namen'!M21)</f>
        <v/>
      </c>
      <c r="G31" s="5" t="str">
        <f>IF(ISBLANK('Sample Namen'!N21),"",'Sample Namen'!N21)</f>
        <v/>
      </c>
      <c r="H31" s="5" t="str">
        <f>IF(ISBLANK('Sample Namen'!P21),"",'Sample Namen'!P21)</f>
        <v/>
      </c>
      <c r="I31" s="5" t="str">
        <f>IF(OR(ISBLANK('Sample Namen'!B21),ISBLANK('Sample Namen'!Q21)),"",IF('Sample Namen'!Q21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Namen'!K22),"",'Sample Namen'!K22)</f>
        <v/>
      </c>
      <c r="F32" s="5" t="str">
        <f>IF(ISBLANK('Sample Namen'!M22),"",'Sample Namen'!M22)</f>
        <v/>
      </c>
      <c r="G32" s="5" t="str">
        <f>IF(ISBLANK('Sample Namen'!N22),"",'Sample Namen'!N22)</f>
        <v/>
      </c>
      <c r="H32" s="5" t="str">
        <f>IF(ISBLANK('Sample Namen'!P22),"",'Sample Namen'!P22)</f>
        <v/>
      </c>
      <c r="I32" s="5" t="str">
        <f>IF(OR(ISBLANK('Sample Namen'!B22),ISBLANK('Sample Namen'!Q22)),"",IF('Sample Namen'!Q22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Namen'!K23),"",'Sample Namen'!K23)</f>
        <v/>
      </c>
      <c r="F33" s="5" t="str">
        <f>IF(ISBLANK('Sample Namen'!M23),"",'Sample Namen'!M23)</f>
        <v/>
      </c>
      <c r="G33" s="5" t="str">
        <f>IF(ISBLANK('Sample Namen'!N23),"",'Sample Namen'!N23)</f>
        <v/>
      </c>
      <c r="H33" s="5" t="str">
        <f>IF(ISBLANK('Sample Namen'!P23),"",'Sample Namen'!P23)</f>
        <v/>
      </c>
      <c r="I33" s="5" t="str">
        <f>IF(OR(ISBLANK('Sample Namen'!B23),ISBLANK('Sample Namen'!Q23)),"",IF('Sample Namen'!Q23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Namen'!K24),"",'Sample Namen'!K24)</f>
        <v/>
      </c>
      <c r="F34" s="5" t="str">
        <f>IF(ISBLANK('Sample Namen'!M24),"",'Sample Namen'!M24)</f>
        <v/>
      </c>
      <c r="G34" s="5" t="str">
        <f>IF(ISBLANK('Sample Namen'!N24),"",'Sample Namen'!N24)</f>
        <v/>
      </c>
      <c r="H34" s="5" t="str">
        <f>IF(ISBLANK('Sample Namen'!P24),"",'Sample Namen'!P24)</f>
        <v/>
      </c>
      <c r="I34" s="5" t="str">
        <f>IF(OR(ISBLANK('Sample Namen'!B24),ISBLANK('Sample Namen'!Q24)),"",IF('Sample Namen'!Q24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Namen'!K25),"",'Sample Namen'!K25)</f>
        <v/>
      </c>
      <c r="F35" s="5" t="str">
        <f>IF(ISBLANK('Sample Namen'!M25),"",'Sample Namen'!M25)</f>
        <v/>
      </c>
      <c r="G35" s="5" t="str">
        <f>IF(ISBLANK('Sample Namen'!N25),"",'Sample Namen'!N25)</f>
        <v/>
      </c>
      <c r="H35" s="5" t="str">
        <f>IF(ISBLANK('Sample Namen'!P25),"",'Sample Namen'!P25)</f>
        <v/>
      </c>
      <c r="I35" s="5" t="str">
        <f>IF(OR(ISBLANK('Sample Namen'!B25),ISBLANK('Sample Namen'!Q25)),"",IF('Sample Namen'!Q25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Namen'!K26),"",'Sample Namen'!K26)</f>
        <v/>
      </c>
      <c r="F36" s="5" t="str">
        <f>IF(ISBLANK('Sample Namen'!M26),"",'Sample Namen'!M26)</f>
        <v/>
      </c>
      <c r="G36" s="5" t="str">
        <f>IF(ISBLANK('Sample Namen'!N26),"",'Sample Namen'!N26)</f>
        <v/>
      </c>
      <c r="H36" s="5" t="str">
        <f>IF(ISBLANK('Sample Namen'!P26),"",'Sample Namen'!P26)</f>
        <v/>
      </c>
      <c r="I36" s="5" t="str">
        <f>IF(OR(ISBLANK('Sample Namen'!B26),ISBLANK('Sample Namen'!Q26)),"",IF('Sample Namen'!Q26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Namen'!K27),"",'Sample Namen'!K27)</f>
        <v/>
      </c>
      <c r="F37" s="5" t="str">
        <f>IF(ISBLANK('Sample Namen'!M27),"",'Sample Namen'!M27)</f>
        <v/>
      </c>
      <c r="G37" s="5" t="str">
        <f>IF(ISBLANK('Sample Namen'!N27),"",'Sample Namen'!N27)</f>
        <v/>
      </c>
      <c r="H37" s="5" t="str">
        <f>IF(ISBLANK('Sample Namen'!P27),"",'Sample Namen'!P27)</f>
        <v/>
      </c>
      <c r="I37" s="5" t="str">
        <f>IF(OR(ISBLANK('Sample Namen'!B27),ISBLANK('Sample Namen'!Q27)),"",IF('Sample Namen'!Q27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Namen'!K28),"",'Sample Namen'!K28)</f>
        <v/>
      </c>
      <c r="F38" s="5" t="str">
        <f>IF(ISBLANK('Sample Namen'!M28),"",'Sample Namen'!M28)</f>
        <v/>
      </c>
      <c r="G38" s="5" t="str">
        <f>IF(ISBLANK('Sample Namen'!N28),"",'Sample Namen'!N28)</f>
        <v/>
      </c>
      <c r="H38" s="5" t="str">
        <f>IF(ISBLANK('Sample Namen'!P28),"",'Sample Namen'!P28)</f>
        <v/>
      </c>
      <c r="I38" s="5" t="str">
        <f>IF(OR(ISBLANK('Sample Namen'!B28),ISBLANK('Sample Namen'!Q28)),"",IF('Sample Namen'!Q28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Namen'!K29),"",'Sample Namen'!K29)</f>
        <v/>
      </c>
      <c r="F39" s="5" t="str">
        <f>IF(ISBLANK('Sample Namen'!M29),"",'Sample Namen'!M29)</f>
        <v/>
      </c>
      <c r="G39" s="5" t="str">
        <f>IF(ISBLANK('Sample Namen'!N29),"",'Sample Namen'!N29)</f>
        <v/>
      </c>
      <c r="H39" s="5" t="str">
        <f>IF(ISBLANK('Sample Namen'!P29),"",'Sample Namen'!P29)</f>
        <v/>
      </c>
      <c r="I39" s="5" t="str">
        <f>IF(OR(ISBLANK('Sample Namen'!B29),ISBLANK('Sample Namen'!Q29)),"",IF('Sample Namen'!Q29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Namen'!K30),"",'Sample Namen'!K30)</f>
        <v/>
      </c>
      <c r="F40" s="5" t="str">
        <f>IF(ISBLANK('Sample Namen'!M30),"",'Sample Namen'!M30)</f>
        <v/>
      </c>
      <c r="G40" s="5" t="str">
        <f>IF(ISBLANK('Sample Namen'!N30),"",'Sample Namen'!N30)</f>
        <v/>
      </c>
      <c r="H40" s="5" t="str">
        <f>IF(ISBLANK('Sample Namen'!P30),"",'Sample Namen'!P30)</f>
        <v/>
      </c>
      <c r="I40" s="5" t="str">
        <f>IF(OR(ISBLANK('Sample Namen'!B30),ISBLANK('Sample Namen'!Q30)),"",IF('Sample Namen'!Q30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Namen'!K31),"",'Sample Namen'!K31)</f>
        <v/>
      </c>
      <c r="F41" s="5" t="str">
        <f>IF(ISBLANK('Sample Namen'!M31),"",'Sample Namen'!M31)</f>
        <v/>
      </c>
      <c r="G41" s="5" t="str">
        <f>IF(ISBLANK('Sample Namen'!N31),"",'Sample Namen'!N31)</f>
        <v/>
      </c>
      <c r="H41" s="5" t="str">
        <f>IF(ISBLANK('Sample Namen'!P31),"",'Sample Namen'!P31)</f>
        <v/>
      </c>
      <c r="I41" s="5" t="str">
        <f>IF(OR(ISBLANK('Sample Namen'!B31),ISBLANK('Sample Namen'!Q31)),"",IF('Sample Namen'!Q31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Namen'!K32),"",'Sample Namen'!K32)</f>
        <v/>
      </c>
      <c r="F42" s="5" t="str">
        <f>IF(ISBLANK('Sample Namen'!M32),"",'Sample Namen'!M32)</f>
        <v/>
      </c>
      <c r="G42" s="5" t="str">
        <f>IF(ISBLANK('Sample Namen'!N32),"",'Sample Namen'!N32)</f>
        <v/>
      </c>
      <c r="H42" s="5" t="str">
        <f>IF(ISBLANK('Sample Namen'!P32),"",'Sample Namen'!P32)</f>
        <v/>
      </c>
      <c r="I42" s="5" t="str">
        <f>IF(OR(ISBLANK('Sample Namen'!B32),ISBLANK('Sample Namen'!Q32)),"",IF('Sample Namen'!Q32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Namen'!K33),"",'Sample Namen'!K33)</f>
        <v/>
      </c>
      <c r="F43" s="5" t="str">
        <f>IF(ISBLANK('Sample Namen'!M33),"",'Sample Namen'!M33)</f>
        <v/>
      </c>
      <c r="G43" s="5" t="str">
        <f>IF(ISBLANK('Sample Namen'!N33),"",'Sample Namen'!N33)</f>
        <v/>
      </c>
      <c r="H43" s="5" t="str">
        <f>IF(ISBLANK('Sample Namen'!P33),"",'Sample Namen'!P33)</f>
        <v/>
      </c>
      <c r="I43" s="5" t="str">
        <f>IF(OR(ISBLANK('Sample Namen'!B33),ISBLANK('Sample Namen'!Q33)),"",IF('Sample Namen'!Q33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Namen'!K34),"",'Sample Namen'!K34)</f>
        <v/>
      </c>
      <c r="F44" s="5" t="str">
        <f>IF(ISBLANK('Sample Namen'!M34),"",'Sample Namen'!M34)</f>
        <v/>
      </c>
      <c r="G44" s="5" t="str">
        <f>IF(ISBLANK('Sample Namen'!N34),"",'Sample Namen'!N34)</f>
        <v/>
      </c>
      <c r="H44" s="5" t="str">
        <f>IF(ISBLANK('Sample Namen'!P34),"",'Sample Namen'!P34)</f>
        <v/>
      </c>
      <c r="I44" s="5" t="str">
        <f>IF(OR(ISBLANK('Sample Namen'!B34),ISBLANK('Sample Namen'!Q34)),"",IF('Sample Namen'!Q34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Namen'!K35),"",'Sample Namen'!K35)</f>
        <v/>
      </c>
      <c r="F45" s="5" t="str">
        <f>IF(ISBLANK('Sample Namen'!M35),"",'Sample Namen'!M35)</f>
        <v/>
      </c>
      <c r="G45" s="5" t="str">
        <f>IF(ISBLANK('Sample Namen'!N35),"",'Sample Namen'!N35)</f>
        <v/>
      </c>
      <c r="H45" s="5" t="str">
        <f>IF(ISBLANK('Sample Namen'!P35),"",'Sample Namen'!P35)</f>
        <v/>
      </c>
      <c r="I45" s="5" t="str">
        <f>IF(OR(ISBLANK('Sample Namen'!B35),ISBLANK('Sample Namen'!Q35)),"",IF('Sample Namen'!Q35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Namen'!K36),"",'Sample Namen'!K36)</f>
        <v/>
      </c>
      <c r="F46" s="5" t="str">
        <f>IF(ISBLANK('Sample Namen'!M36),"",'Sample Namen'!M36)</f>
        <v/>
      </c>
      <c r="G46" s="5" t="str">
        <f>IF(ISBLANK('Sample Namen'!N36),"",'Sample Namen'!N36)</f>
        <v/>
      </c>
      <c r="H46" s="5" t="str">
        <f>IF(ISBLANK('Sample Namen'!P36),"",'Sample Namen'!P36)</f>
        <v/>
      </c>
      <c r="I46" s="5" t="str">
        <f>IF(OR(ISBLANK('Sample Namen'!B36),ISBLANK('Sample Namen'!Q36)),"",IF('Sample Namen'!Q36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Namen'!K37),"",'Sample Namen'!K37)</f>
        <v/>
      </c>
      <c r="F47" s="5" t="str">
        <f>IF(ISBLANK('Sample Namen'!M37),"",'Sample Namen'!M37)</f>
        <v/>
      </c>
      <c r="G47" s="5" t="str">
        <f>IF(ISBLANK('Sample Namen'!N37),"",'Sample Namen'!N37)</f>
        <v/>
      </c>
      <c r="H47" s="5" t="str">
        <f>IF(ISBLANK('Sample Namen'!P37),"",'Sample Namen'!P37)</f>
        <v/>
      </c>
      <c r="I47" s="5" t="str">
        <f>IF(OR(ISBLANK('Sample Namen'!B37),ISBLANK('Sample Namen'!Q37)),"",IF('Sample Namen'!Q37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Namen'!K38),"",'Sample Namen'!K38)</f>
        <v/>
      </c>
      <c r="F48" s="5" t="str">
        <f>IF(ISBLANK('Sample Namen'!M38),"",'Sample Namen'!M38)</f>
        <v/>
      </c>
      <c r="G48" s="5" t="str">
        <f>IF(ISBLANK('Sample Namen'!N38),"",'Sample Namen'!N38)</f>
        <v/>
      </c>
      <c r="H48" s="5" t="str">
        <f>IF(ISBLANK('Sample Namen'!P38),"",'Sample Namen'!P38)</f>
        <v/>
      </c>
      <c r="I48" s="5" t="str">
        <f>IF(OR(ISBLANK('Sample Namen'!B38),ISBLANK('Sample Namen'!Q38)),"",IF('Sample Namen'!Q38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Namen'!K39),"",'Sample Namen'!K39)</f>
        <v/>
      </c>
      <c r="F49" s="5" t="str">
        <f>IF(ISBLANK('Sample Namen'!M39),"",'Sample Namen'!M39)</f>
        <v/>
      </c>
      <c r="G49" s="5" t="str">
        <f>IF(ISBLANK('Sample Namen'!N39),"",'Sample Namen'!N39)</f>
        <v/>
      </c>
      <c r="H49" s="5" t="str">
        <f>IF(ISBLANK('Sample Namen'!P39),"",'Sample Namen'!P39)</f>
        <v/>
      </c>
      <c r="I49" s="5" t="str">
        <f>IF(OR(ISBLANK('Sample Namen'!B39),ISBLANK('Sample Namen'!Q39)),"",IF('Sample Namen'!Q39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Namen'!K40),"",'Sample Namen'!K40)</f>
        <v/>
      </c>
      <c r="F50" s="5" t="str">
        <f>IF(ISBLANK('Sample Namen'!M40),"",'Sample Namen'!M40)</f>
        <v/>
      </c>
      <c r="G50" s="5" t="str">
        <f>IF(ISBLANK('Sample Namen'!N40),"",'Sample Namen'!N40)</f>
        <v/>
      </c>
      <c r="H50" s="5" t="str">
        <f>IF(ISBLANK('Sample Namen'!P40),"",'Sample Namen'!P40)</f>
        <v/>
      </c>
      <c r="I50" s="5" t="str">
        <f>IF(OR(ISBLANK('Sample Namen'!B40),ISBLANK('Sample Namen'!Q40)),"",IF('Sample Namen'!Q40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Namen'!K41),"",'Sample Namen'!K41)</f>
        <v/>
      </c>
      <c r="F51" s="5" t="str">
        <f>IF(ISBLANK('Sample Namen'!M41),"",'Sample Namen'!M41)</f>
        <v/>
      </c>
      <c r="G51" s="5" t="str">
        <f>IF(ISBLANK('Sample Namen'!N41),"",'Sample Namen'!N41)</f>
        <v/>
      </c>
      <c r="H51" s="5" t="str">
        <f>IF(ISBLANK('Sample Namen'!P41),"",'Sample Namen'!P41)</f>
        <v/>
      </c>
      <c r="I51" s="5" t="str">
        <f>IF(OR(ISBLANK('Sample Namen'!B41),ISBLANK('Sample Namen'!Q41)),"",IF('Sample Namen'!Q41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Namen'!K42),"",'Sample Namen'!K42)</f>
        <v/>
      </c>
      <c r="F52" s="5" t="str">
        <f>IF(ISBLANK('Sample Namen'!M42),"",'Sample Namen'!M42)</f>
        <v/>
      </c>
      <c r="G52" s="5" t="str">
        <f>IF(ISBLANK('Sample Namen'!N42),"",'Sample Namen'!N42)</f>
        <v/>
      </c>
      <c r="H52" s="5" t="str">
        <f>IF(ISBLANK('Sample Namen'!P42),"",'Sample Namen'!P42)</f>
        <v/>
      </c>
      <c r="I52" s="5" t="str">
        <f>IF(OR(ISBLANK('Sample Namen'!B42),ISBLANK('Sample Namen'!Q42)),"",IF('Sample Namen'!Q42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Namen'!K43),"",'Sample Namen'!K43)</f>
        <v/>
      </c>
      <c r="F53" s="5" t="str">
        <f>IF(ISBLANK('Sample Namen'!M43),"",'Sample Namen'!M43)</f>
        <v/>
      </c>
      <c r="G53" s="5" t="str">
        <f>IF(ISBLANK('Sample Namen'!N43),"",'Sample Namen'!N43)</f>
        <v/>
      </c>
      <c r="H53" s="5" t="str">
        <f>IF(ISBLANK('Sample Namen'!P43),"",'Sample Namen'!P43)</f>
        <v/>
      </c>
      <c r="I53" s="5" t="str">
        <f>IF(OR(ISBLANK('Sample Namen'!B43),ISBLANK('Sample Namen'!Q43)),"",IF('Sample Namen'!Q43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Namen'!K44),"",'Sample Namen'!K44)</f>
        <v/>
      </c>
      <c r="F54" s="5" t="str">
        <f>IF(ISBLANK('Sample Namen'!M44),"",'Sample Namen'!M44)</f>
        <v/>
      </c>
      <c r="G54" s="5" t="str">
        <f>IF(ISBLANK('Sample Namen'!N44),"",'Sample Namen'!N44)</f>
        <v/>
      </c>
      <c r="H54" s="5" t="str">
        <f>IF(ISBLANK('Sample Namen'!P44),"",'Sample Namen'!P44)</f>
        <v/>
      </c>
      <c r="I54" s="5" t="str">
        <f>IF(OR(ISBLANK('Sample Namen'!B44),ISBLANK('Sample Namen'!Q44)),"",IF('Sample Namen'!Q44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Namen'!K45),"",'Sample Namen'!K45)</f>
        <v/>
      </c>
      <c r="F55" s="5" t="str">
        <f>IF(ISBLANK('Sample Namen'!M45),"",'Sample Namen'!M45)</f>
        <v/>
      </c>
      <c r="G55" s="5" t="str">
        <f>IF(ISBLANK('Sample Namen'!N45),"",'Sample Namen'!N45)</f>
        <v/>
      </c>
      <c r="H55" s="5" t="str">
        <f>IF(ISBLANK('Sample Namen'!P45),"",'Sample Namen'!P45)</f>
        <v/>
      </c>
      <c r="I55" s="5" t="str">
        <f>IF(OR(ISBLANK('Sample Namen'!B45),ISBLANK('Sample Namen'!Q45)),"",IF('Sample Namen'!Q45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Namen'!K46),"",'Sample Namen'!K46)</f>
        <v/>
      </c>
      <c r="F56" s="5" t="str">
        <f>IF(ISBLANK('Sample Namen'!M46),"",'Sample Namen'!M46)</f>
        <v/>
      </c>
      <c r="G56" s="5" t="str">
        <f>IF(ISBLANK('Sample Namen'!N46),"",'Sample Namen'!N46)</f>
        <v/>
      </c>
      <c r="H56" s="5" t="str">
        <f>IF(ISBLANK('Sample Namen'!P46),"",'Sample Namen'!P46)</f>
        <v/>
      </c>
      <c r="I56" s="5" t="str">
        <f>IF(OR(ISBLANK('Sample Namen'!B46),ISBLANK('Sample Namen'!Q46)),"",IF('Sample Namen'!Q46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Namen'!K47),"",'Sample Namen'!K47)</f>
        <v/>
      </c>
      <c r="F57" s="5" t="str">
        <f>IF(ISBLANK('Sample Namen'!M47),"",'Sample Namen'!M47)</f>
        <v/>
      </c>
      <c r="G57" s="5" t="str">
        <f>IF(ISBLANK('Sample Namen'!N47),"",'Sample Namen'!N47)</f>
        <v/>
      </c>
      <c r="H57" s="5" t="str">
        <f>IF(ISBLANK('Sample Namen'!P47),"",'Sample Namen'!P47)</f>
        <v/>
      </c>
      <c r="I57" s="5" t="str">
        <f>IF(OR(ISBLANK('Sample Namen'!B47),ISBLANK('Sample Namen'!Q47)),"",IF('Sample Namen'!Q47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Namen'!K48),"",'Sample Namen'!K48)</f>
        <v/>
      </c>
      <c r="F58" s="5" t="str">
        <f>IF(ISBLANK('Sample Namen'!M48),"",'Sample Namen'!M48)</f>
        <v/>
      </c>
      <c r="G58" s="5" t="str">
        <f>IF(ISBLANK('Sample Namen'!N48),"",'Sample Namen'!N48)</f>
        <v/>
      </c>
      <c r="H58" s="5" t="str">
        <f>IF(ISBLANK('Sample Namen'!P48),"",'Sample Namen'!P48)</f>
        <v/>
      </c>
      <c r="I58" s="5" t="str">
        <f>IF(OR(ISBLANK('Sample Namen'!B48),ISBLANK('Sample Namen'!Q48)),"",IF('Sample Namen'!Q48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Namen'!K49),"",'Sample Namen'!K49)</f>
        <v/>
      </c>
      <c r="F59" s="5" t="str">
        <f>IF(ISBLANK('Sample Namen'!M49),"",'Sample Namen'!M49)</f>
        <v/>
      </c>
      <c r="G59" s="5" t="str">
        <f>IF(ISBLANK('Sample Namen'!N49),"",'Sample Namen'!N49)</f>
        <v/>
      </c>
      <c r="H59" s="5" t="str">
        <f>IF(ISBLANK('Sample Namen'!P49),"",'Sample Namen'!P49)</f>
        <v/>
      </c>
      <c r="I59" s="5" t="str">
        <f>IF(OR(ISBLANK('Sample Namen'!B49),ISBLANK('Sample Namen'!Q49)),"",IF('Sample Namen'!Q49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Namen'!K50),"",'Sample Namen'!K50)</f>
        <v/>
      </c>
      <c r="F60" s="5" t="str">
        <f>IF(ISBLANK('Sample Namen'!M50),"",'Sample Namen'!M50)</f>
        <v/>
      </c>
      <c r="G60" s="5" t="str">
        <f>IF(ISBLANK('Sample Namen'!N50),"",'Sample Namen'!N50)</f>
        <v/>
      </c>
      <c r="H60" s="5" t="str">
        <f>IF(ISBLANK('Sample Namen'!P50),"",'Sample Namen'!P50)</f>
        <v/>
      </c>
      <c r="I60" s="5" t="str">
        <f>IF(OR(ISBLANK('Sample Namen'!B50),ISBLANK('Sample Namen'!Q50)),"",IF('Sample Namen'!Q50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Namen'!K51),"",'Sample Namen'!K51)</f>
        <v/>
      </c>
      <c r="F61" s="5" t="str">
        <f>IF(ISBLANK('Sample Namen'!M51),"",'Sample Namen'!M51)</f>
        <v/>
      </c>
      <c r="G61" s="5" t="str">
        <f>IF(ISBLANK('Sample Namen'!N51),"",'Sample Namen'!N51)</f>
        <v/>
      </c>
      <c r="H61" s="5" t="str">
        <f>IF(ISBLANK('Sample Namen'!P51),"",'Sample Namen'!P51)</f>
        <v/>
      </c>
      <c r="I61" s="5" t="str">
        <f>IF(OR(ISBLANK('Sample Namen'!B51),ISBLANK('Sample Namen'!Q51)),"",IF('Sample Namen'!Q51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Namen'!K52),"",'Sample Namen'!K52)</f>
        <v/>
      </c>
      <c r="F62" s="5" t="str">
        <f>IF(ISBLANK('Sample Namen'!M52),"",'Sample Namen'!M52)</f>
        <v/>
      </c>
      <c r="G62" s="5" t="str">
        <f>IF(ISBLANK('Sample Namen'!N52),"",'Sample Namen'!N52)</f>
        <v/>
      </c>
      <c r="H62" s="5" t="str">
        <f>IF(ISBLANK('Sample Namen'!P52),"",'Sample Namen'!P52)</f>
        <v/>
      </c>
      <c r="I62" s="5" t="str">
        <f>IF(OR(ISBLANK('Sample Namen'!B52),ISBLANK('Sample Namen'!Q52)),"",IF('Sample Namen'!Q52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Namen'!K53),"",'Sample Namen'!K53)</f>
        <v/>
      </c>
      <c r="F63" s="5" t="str">
        <f>IF(ISBLANK('Sample Namen'!M53),"",'Sample Namen'!M53)</f>
        <v/>
      </c>
      <c r="G63" s="5" t="str">
        <f>IF(ISBLANK('Sample Namen'!N53),"",'Sample Namen'!N53)</f>
        <v/>
      </c>
      <c r="H63" s="5" t="str">
        <f>IF(ISBLANK('Sample Namen'!P53),"",'Sample Namen'!P53)</f>
        <v/>
      </c>
      <c r="I63" s="5" t="str">
        <f>IF(OR(ISBLANK('Sample Namen'!B53),ISBLANK('Sample Namen'!Q53)),"",IF('Sample Namen'!Q53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Namen'!K54),"",'Sample Namen'!K54)</f>
        <v/>
      </c>
      <c r="F64" s="5" t="str">
        <f>IF(ISBLANK('Sample Namen'!M54),"",'Sample Namen'!M54)</f>
        <v/>
      </c>
      <c r="G64" s="5" t="str">
        <f>IF(ISBLANK('Sample Namen'!N54),"",'Sample Namen'!N54)</f>
        <v/>
      </c>
      <c r="H64" s="5" t="str">
        <f>IF(ISBLANK('Sample Namen'!P54),"",'Sample Namen'!P54)</f>
        <v/>
      </c>
      <c r="I64" s="5" t="str">
        <f>IF(OR(ISBLANK('Sample Namen'!B54),ISBLANK('Sample Namen'!Q54)),"",IF('Sample Namen'!Q54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Namen'!K55),"",'Sample Namen'!K55)</f>
        <v/>
      </c>
      <c r="F65" s="5" t="str">
        <f>IF(ISBLANK('Sample Namen'!M55),"",'Sample Namen'!M55)</f>
        <v/>
      </c>
      <c r="G65" s="5" t="str">
        <f>IF(ISBLANK('Sample Namen'!N55),"",'Sample Namen'!N55)</f>
        <v/>
      </c>
      <c r="H65" s="5" t="str">
        <f>IF(ISBLANK('Sample Namen'!P55),"",'Sample Namen'!P55)</f>
        <v/>
      </c>
      <c r="I65" s="5" t="str">
        <f>IF(OR(ISBLANK('Sample Namen'!B55),ISBLANK('Sample Namen'!Q55)),"",IF('Sample Namen'!Q55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Namen'!K56),"",'Sample Namen'!K56)</f>
        <v/>
      </c>
      <c r="F66" s="5" t="str">
        <f>IF(ISBLANK('Sample Namen'!M56),"",'Sample Namen'!M56)</f>
        <v/>
      </c>
      <c r="G66" s="5" t="str">
        <f>IF(ISBLANK('Sample Namen'!N56),"",'Sample Namen'!N56)</f>
        <v/>
      </c>
      <c r="H66" s="5" t="str">
        <f>IF(ISBLANK('Sample Namen'!P56),"",'Sample Namen'!P56)</f>
        <v/>
      </c>
      <c r="I66" s="5" t="str">
        <f>IF(OR(ISBLANK('Sample Namen'!B56),ISBLANK('Sample Namen'!Q56)),"",IF('Sample Namen'!Q56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Namen'!K57),"",'Sample Namen'!K57)</f>
        <v/>
      </c>
      <c r="F67" s="5" t="str">
        <f>IF(ISBLANK('Sample Namen'!M57),"",'Sample Namen'!M57)</f>
        <v/>
      </c>
      <c r="G67" s="5" t="str">
        <f>IF(ISBLANK('Sample Namen'!N57),"",'Sample Namen'!N57)</f>
        <v/>
      </c>
      <c r="H67" s="5" t="str">
        <f>IF(ISBLANK('Sample Namen'!P57),"",'Sample Namen'!P57)</f>
        <v/>
      </c>
      <c r="I67" s="5" t="str">
        <f>IF(OR(ISBLANK('Sample Namen'!B57),ISBLANK('Sample Namen'!Q57)),"",IF('Sample Namen'!Q57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Namen'!K58),"",'Sample Namen'!K58)</f>
        <v/>
      </c>
      <c r="F68" s="5" t="str">
        <f>IF(ISBLANK('Sample Namen'!M58),"",'Sample Namen'!M58)</f>
        <v/>
      </c>
      <c r="G68" s="5" t="str">
        <f>IF(ISBLANK('Sample Namen'!N58),"",'Sample Namen'!N58)</f>
        <v/>
      </c>
      <c r="H68" s="5" t="str">
        <f>IF(ISBLANK('Sample Namen'!P58),"",'Sample Namen'!P58)</f>
        <v/>
      </c>
      <c r="I68" s="5" t="str">
        <f>IF(OR(ISBLANK('Sample Namen'!B58),ISBLANK('Sample Namen'!Q58)),"",IF('Sample Namen'!Q58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Namen'!K59),"",'Sample Namen'!K59)</f>
        <v/>
      </c>
      <c r="F69" s="5" t="str">
        <f>IF(ISBLANK('Sample Namen'!M59),"",'Sample Namen'!M59)</f>
        <v/>
      </c>
      <c r="G69" s="5" t="str">
        <f>IF(ISBLANK('Sample Namen'!N59),"",'Sample Namen'!N59)</f>
        <v/>
      </c>
      <c r="H69" s="5" t="str">
        <f>IF(ISBLANK('Sample Namen'!P59),"",'Sample Namen'!P59)</f>
        <v/>
      </c>
      <c r="I69" s="5" t="str">
        <f>IF(OR(ISBLANK('Sample Namen'!B59),ISBLANK('Sample Namen'!Q59)),"",IF('Sample Namen'!Q59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Namen'!K60),"",'Sample Namen'!K60)</f>
        <v/>
      </c>
      <c r="F70" s="5" t="str">
        <f>IF(ISBLANK('Sample Namen'!M60),"",'Sample Namen'!M60)</f>
        <v/>
      </c>
      <c r="G70" s="5" t="str">
        <f>IF(ISBLANK('Sample Namen'!N60),"",'Sample Namen'!N60)</f>
        <v/>
      </c>
      <c r="H70" s="5" t="str">
        <f>IF(ISBLANK('Sample Namen'!P60),"",'Sample Namen'!P60)</f>
        <v/>
      </c>
      <c r="I70" s="5" t="str">
        <f>IF(OR(ISBLANK('Sample Namen'!B60),ISBLANK('Sample Namen'!Q60)),"",IF('Sample Namen'!Q60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Namen'!K61),"",'Sample Namen'!K61)</f>
        <v/>
      </c>
      <c r="F71" s="5" t="str">
        <f>IF(ISBLANK('Sample Namen'!M61),"",'Sample Namen'!M61)</f>
        <v/>
      </c>
      <c r="G71" s="5" t="str">
        <f>IF(ISBLANK('Sample Namen'!N61),"",'Sample Namen'!N61)</f>
        <v/>
      </c>
      <c r="H71" s="5" t="str">
        <f>IF(ISBLANK('Sample Namen'!P61),"",'Sample Namen'!P61)</f>
        <v/>
      </c>
      <c r="I71" s="5" t="str">
        <f>IF(OR(ISBLANK('Sample Namen'!B61),ISBLANK('Sample Namen'!Q61)),"",IF('Sample Namen'!Q61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Namen'!K62),"",'Sample Namen'!K62)</f>
        <v/>
      </c>
      <c r="F72" s="5" t="str">
        <f>IF(ISBLANK('Sample Namen'!M62),"",'Sample Namen'!M62)</f>
        <v/>
      </c>
      <c r="G72" s="5" t="str">
        <f>IF(ISBLANK('Sample Namen'!N62),"",'Sample Namen'!N62)</f>
        <v/>
      </c>
      <c r="H72" s="5" t="str">
        <f>IF(ISBLANK('Sample Namen'!P62),"",'Sample Namen'!P62)</f>
        <v/>
      </c>
      <c r="I72" s="5" t="str">
        <f>IF(OR(ISBLANK('Sample Namen'!B62),ISBLANK('Sample Namen'!Q62)),"",IF('Sample Namen'!Q62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Namen'!K63),"",'Sample Namen'!K63)</f>
        <v/>
      </c>
      <c r="F73" s="5" t="str">
        <f>IF(ISBLANK('Sample Namen'!M63),"",'Sample Namen'!M63)</f>
        <v/>
      </c>
      <c r="G73" s="5" t="str">
        <f>IF(ISBLANK('Sample Namen'!N63),"",'Sample Namen'!N63)</f>
        <v/>
      </c>
      <c r="H73" s="5" t="str">
        <f>IF(ISBLANK('Sample Namen'!P63),"",'Sample Namen'!P63)</f>
        <v/>
      </c>
      <c r="I73" s="5" t="str">
        <f>IF(OR(ISBLANK('Sample Namen'!B63),ISBLANK('Sample Namen'!Q63)),"",IF('Sample Namen'!Q63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Namen'!K64),"",'Sample Namen'!K64)</f>
        <v/>
      </c>
      <c r="F74" s="5" t="str">
        <f>IF(ISBLANK('Sample Namen'!M64),"",'Sample Namen'!M64)</f>
        <v/>
      </c>
      <c r="G74" s="5" t="str">
        <f>IF(ISBLANK('Sample Namen'!N64),"",'Sample Namen'!N64)</f>
        <v/>
      </c>
      <c r="H74" s="5" t="str">
        <f>IF(ISBLANK('Sample Namen'!P64),"",'Sample Namen'!P64)</f>
        <v/>
      </c>
      <c r="I74" s="5" t="str">
        <f>IF(OR(ISBLANK('Sample Namen'!B64),ISBLANK('Sample Namen'!Q64)),"",IF('Sample Namen'!Q64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Namen'!K65),"",'Sample Namen'!K65)</f>
        <v/>
      </c>
      <c r="F75" s="5" t="str">
        <f>IF(ISBLANK('Sample Namen'!M65),"",'Sample Namen'!M65)</f>
        <v/>
      </c>
      <c r="G75" s="5" t="str">
        <f>IF(ISBLANK('Sample Namen'!N65),"",'Sample Namen'!N65)</f>
        <v/>
      </c>
      <c r="H75" s="5" t="str">
        <f>IF(ISBLANK('Sample Namen'!P65),"",'Sample Namen'!P65)</f>
        <v/>
      </c>
      <c r="I75" s="5" t="str">
        <f>IF(OR(ISBLANK('Sample Namen'!B65),ISBLANK('Sample Namen'!Q65)),"",IF('Sample Namen'!Q65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Namen'!K66),"",'Sample Namen'!K66)</f>
        <v/>
      </c>
      <c r="F76" s="5" t="str">
        <f>IF(ISBLANK('Sample Namen'!M66),"",'Sample Namen'!M66)</f>
        <v/>
      </c>
      <c r="G76" s="5" t="str">
        <f>IF(ISBLANK('Sample Namen'!N66),"",'Sample Namen'!N66)</f>
        <v/>
      </c>
      <c r="H76" s="5" t="str">
        <f>IF(ISBLANK('Sample Namen'!P66),"",'Sample Namen'!P66)</f>
        <v/>
      </c>
      <c r="I76" s="5" t="str">
        <f>IF(OR(ISBLANK('Sample Namen'!B66),ISBLANK('Sample Namen'!Q66)),"",IF('Sample Namen'!Q66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Namen'!K67),"",'Sample Namen'!K67)</f>
        <v/>
      </c>
      <c r="F77" s="5" t="str">
        <f>IF(ISBLANK('Sample Namen'!M67),"",'Sample Namen'!M67)</f>
        <v/>
      </c>
      <c r="G77" s="5" t="str">
        <f>IF(ISBLANK('Sample Namen'!N67),"",'Sample Namen'!N67)</f>
        <v/>
      </c>
      <c r="H77" s="5" t="str">
        <f>IF(ISBLANK('Sample Namen'!P67),"",'Sample Namen'!P67)</f>
        <v/>
      </c>
      <c r="I77" s="5" t="str">
        <f>IF(OR(ISBLANK('Sample Namen'!B67),ISBLANK('Sample Namen'!Q67)),"",IF('Sample Namen'!Q67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Namen'!K68),"",'Sample Namen'!K68)</f>
        <v/>
      </c>
      <c r="F78" s="5" t="str">
        <f>IF(ISBLANK('Sample Namen'!M68),"",'Sample Namen'!M68)</f>
        <v/>
      </c>
      <c r="G78" s="5" t="str">
        <f>IF(ISBLANK('Sample Namen'!N68),"",'Sample Namen'!N68)</f>
        <v/>
      </c>
      <c r="H78" s="5" t="str">
        <f>IF(ISBLANK('Sample Namen'!P68),"",'Sample Namen'!P68)</f>
        <v/>
      </c>
      <c r="I78" s="5" t="str">
        <f>IF(OR(ISBLANK('Sample Namen'!B68),ISBLANK('Sample Namen'!Q68)),"",IF('Sample Namen'!Q68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Namen'!K69),"",'Sample Namen'!K69)</f>
        <v/>
      </c>
      <c r="F79" s="5" t="str">
        <f>IF(ISBLANK('Sample Namen'!M69),"",'Sample Namen'!M69)</f>
        <v/>
      </c>
      <c r="G79" s="5" t="str">
        <f>IF(ISBLANK('Sample Namen'!N69),"",'Sample Namen'!N69)</f>
        <v/>
      </c>
      <c r="H79" s="5" t="str">
        <f>IF(ISBLANK('Sample Namen'!P69),"",'Sample Namen'!P69)</f>
        <v/>
      </c>
      <c r="I79" s="5" t="str">
        <f>IF(OR(ISBLANK('Sample Namen'!B69),ISBLANK('Sample Namen'!Q69)),"",IF('Sample Namen'!Q69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Namen'!K70),"",'Sample Namen'!K70)</f>
        <v/>
      </c>
      <c r="F80" s="5" t="str">
        <f>IF(ISBLANK('Sample Namen'!M70),"",'Sample Namen'!M70)</f>
        <v/>
      </c>
      <c r="G80" s="5" t="str">
        <f>IF(ISBLANK('Sample Namen'!N70),"",'Sample Namen'!N70)</f>
        <v/>
      </c>
      <c r="H80" s="5" t="str">
        <f>IF(ISBLANK('Sample Namen'!P70),"",'Sample Namen'!P70)</f>
        <v/>
      </c>
      <c r="I80" s="5" t="str">
        <f>IF(OR(ISBLANK('Sample Namen'!B70),ISBLANK('Sample Namen'!Q70)),"",IF('Sample Namen'!Q70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Namen'!K71),"",'Sample Namen'!K71)</f>
        <v/>
      </c>
      <c r="F81" s="5" t="str">
        <f>IF(ISBLANK('Sample Namen'!M71),"",'Sample Namen'!M71)</f>
        <v/>
      </c>
      <c r="G81" s="5" t="str">
        <f>IF(ISBLANK('Sample Namen'!N71),"",'Sample Namen'!N71)</f>
        <v/>
      </c>
      <c r="H81" s="5" t="str">
        <f>IF(ISBLANK('Sample Namen'!P71),"",'Sample Namen'!P71)</f>
        <v/>
      </c>
      <c r="I81" s="5" t="str">
        <f>IF(OR(ISBLANK('Sample Namen'!B71),ISBLANK('Sample Namen'!Q71)),"",IF('Sample Namen'!Q71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Namen'!K72),"",'Sample Namen'!K72)</f>
        <v/>
      </c>
      <c r="F82" s="5" t="str">
        <f>IF(ISBLANK('Sample Namen'!M72),"",'Sample Namen'!M72)</f>
        <v/>
      </c>
      <c r="G82" s="5" t="str">
        <f>IF(ISBLANK('Sample Namen'!N72),"",'Sample Namen'!N72)</f>
        <v/>
      </c>
      <c r="H82" s="5" t="str">
        <f>IF(ISBLANK('Sample Namen'!P72),"",'Sample Namen'!P72)</f>
        <v/>
      </c>
      <c r="I82" s="5" t="str">
        <f>IF(OR(ISBLANK('Sample Namen'!B72),ISBLANK('Sample Namen'!Q72)),"",IF('Sample Namen'!Q72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Namen'!K73),"",'Sample Namen'!K73)</f>
        <v/>
      </c>
      <c r="F83" s="5" t="str">
        <f>IF(ISBLANK('Sample Namen'!M73),"",'Sample Namen'!M73)</f>
        <v/>
      </c>
      <c r="G83" s="5" t="str">
        <f>IF(ISBLANK('Sample Namen'!N73),"",'Sample Namen'!N73)</f>
        <v/>
      </c>
      <c r="H83" s="5" t="str">
        <f>IF(ISBLANK('Sample Namen'!P73),"",'Sample Namen'!P73)</f>
        <v/>
      </c>
      <c r="I83" s="5" t="str">
        <f>IF(OR(ISBLANK('Sample Namen'!B73),ISBLANK('Sample Namen'!Q73)),"",IF('Sample Namen'!Q73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Namen'!K74),"",'Sample Namen'!K74)</f>
        <v/>
      </c>
      <c r="F84" s="5" t="str">
        <f>IF(ISBLANK('Sample Namen'!M74),"",'Sample Namen'!M74)</f>
        <v/>
      </c>
      <c r="G84" s="5" t="str">
        <f>IF(ISBLANK('Sample Namen'!N74),"",'Sample Namen'!N74)</f>
        <v/>
      </c>
      <c r="H84" s="5" t="str">
        <f>IF(ISBLANK('Sample Namen'!P74),"",'Sample Namen'!P74)</f>
        <v/>
      </c>
      <c r="I84" s="5" t="str">
        <f>IF(OR(ISBLANK('Sample Namen'!B74),ISBLANK('Sample Namen'!Q74)),"",IF('Sample Namen'!Q74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Namen'!K75),"",'Sample Namen'!K75)</f>
        <v/>
      </c>
      <c r="F85" s="5" t="str">
        <f>IF(ISBLANK('Sample Namen'!M75),"",'Sample Namen'!M75)</f>
        <v/>
      </c>
      <c r="G85" s="5" t="str">
        <f>IF(ISBLANK('Sample Namen'!N75),"",'Sample Namen'!N75)</f>
        <v/>
      </c>
      <c r="H85" s="5" t="str">
        <f>IF(ISBLANK('Sample Namen'!P75),"",'Sample Namen'!P75)</f>
        <v/>
      </c>
      <c r="I85" s="5" t="str">
        <f>IF(OR(ISBLANK('Sample Namen'!B75),ISBLANK('Sample Namen'!Q75)),"",IF('Sample Namen'!Q75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Namen'!K76),"",'Sample Namen'!K76)</f>
        <v/>
      </c>
      <c r="F86" s="5" t="str">
        <f>IF(ISBLANK('Sample Namen'!M76),"",'Sample Namen'!M76)</f>
        <v/>
      </c>
      <c r="G86" s="5" t="str">
        <f>IF(ISBLANK('Sample Namen'!N76),"",'Sample Namen'!N76)</f>
        <v/>
      </c>
      <c r="H86" s="5" t="str">
        <f>IF(ISBLANK('Sample Namen'!P76),"",'Sample Namen'!P76)</f>
        <v/>
      </c>
      <c r="I86" s="5" t="str">
        <f>IF(OR(ISBLANK('Sample Namen'!B76),ISBLANK('Sample Namen'!Q76)),"",IF('Sample Namen'!Q76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Namen'!K77),"",'Sample Namen'!K77)</f>
        <v/>
      </c>
      <c r="F87" s="5" t="str">
        <f>IF(ISBLANK('Sample Namen'!M77),"",'Sample Namen'!M77)</f>
        <v/>
      </c>
      <c r="G87" s="5" t="str">
        <f>IF(ISBLANK('Sample Namen'!N77),"",'Sample Namen'!N77)</f>
        <v/>
      </c>
      <c r="H87" s="5" t="str">
        <f>IF(ISBLANK('Sample Namen'!P77),"",'Sample Namen'!P77)</f>
        <v/>
      </c>
      <c r="I87" s="5" t="str">
        <f>IF(OR(ISBLANK('Sample Namen'!B77),ISBLANK('Sample Namen'!Q77)),"",IF('Sample Namen'!Q77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Namen'!K78),"",'Sample Namen'!K78)</f>
        <v/>
      </c>
      <c r="F88" s="5" t="str">
        <f>IF(ISBLANK('Sample Namen'!M78),"",'Sample Namen'!M78)</f>
        <v/>
      </c>
      <c r="G88" s="5" t="str">
        <f>IF(ISBLANK('Sample Namen'!N78),"",'Sample Namen'!N78)</f>
        <v/>
      </c>
      <c r="H88" s="5" t="str">
        <f>IF(ISBLANK('Sample Namen'!P78),"",'Sample Namen'!P78)</f>
        <v/>
      </c>
      <c r="I88" s="5" t="str">
        <f>IF(OR(ISBLANK('Sample Namen'!B78),ISBLANK('Sample Namen'!Q78)),"",IF('Sample Namen'!Q78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Namen'!K79),"",'Sample Namen'!K79)</f>
        <v/>
      </c>
      <c r="F89" s="5" t="str">
        <f>IF(ISBLANK('Sample Namen'!M79),"",'Sample Namen'!M79)</f>
        <v/>
      </c>
      <c r="G89" s="5" t="str">
        <f>IF(ISBLANK('Sample Namen'!N79),"",'Sample Namen'!N79)</f>
        <v/>
      </c>
      <c r="H89" s="5" t="str">
        <f>IF(ISBLANK('Sample Namen'!P79),"",'Sample Namen'!P79)</f>
        <v/>
      </c>
      <c r="I89" s="5" t="str">
        <f>IF(OR(ISBLANK('Sample Namen'!B79),ISBLANK('Sample Namen'!Q79)),"",IF('Sample Namen'!Q79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Namen'!K80),"",'Sample Namen'!K80)</f>
        <v/>
      </c>
      <c r="F90" s="5" t="str">
        <f>IF(ISBLANK('Sample Namen'!M80),"",'Sample Namen'!M80)</f>
        <v/>
      </c>
      <c r="G90" s="5" t="str">
        <f>IF(ISBLANK('Sample Namen'!N80),"",'Sample Namen'!N80)</f>
        <v/>
      </c>
      <c r="H90" s="5" t="str">
        <f>IF(ISBLANK('Sample Namen'!P80),"",'Sample Namen'!P80)</f>
        <v/>
      </c>
      <c r="I90" s="5" t="str">
        <f>IF(OR(ISBLANK('Sample Namen'!B80),ISBLANK('Sample Namen'!Q80)),"",IF('Sample Namen'!Q80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Namen'!K81),"",'Sample Namen'!K81)</f>
        <v/>
      </c>
      <c r="F91" s="5" t="str">
        <f>IF(ISBLANK('Sample Namen'!M81),"",'Sample Namen'!M81)</f>
        <v/>
      </c>
      <c r="G91" s="5" t="str">
        <f>IF(ISBLANK('Sample Namen'!N81),"",'Sample Namen'!N81)</f>
        <v/>
      </c>
      <c r="H91" s="5" t="str">
        <f>IF(ISBLANK('Sample Namen'!P81),"",'Sample Namen'!P81)</f>
        <v/>
      </c>
      <c r="I91" s="5" t="str">
        <f>IF(OR(ISBLANK('Sample Namen'!B81),ISBLANK('Sample Namen'!Q81)),"",IF('Sample Namen'!Q81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Namen'!K82),"",'Sample Namen'!K82)</f>
        <v/>
      </c>
      <c r="F92" s="5" t="str">
        <f>IF(ISBLANK('Sample Namen'!M82),"",'Sample Namen'!M82)</f>
        <v/>
      </c>
      <c r="G92" s="5" t="str">
        <f>IF(ISBLANK('Sample Namen'!N82),"",'Sample Namen'!N82)</f>
        <v/>
      </c>
      <c r="H92" s="5" t="str">
        <f>IF(ISBLANK('Sample Namen'!P82),"",'Sample Namen'!P82)</f>
        <v/>
      </c>
      <c r="I92" s="5" t="str">
        <f>IF(OR(ISBLANK('Sample Namen'!B82),ISBLANK('Sample Namen'!Q82)),"",IF('Sample Namen'!Q82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Namen'!K83),"",'Sample Namen'!K83)</f>
        <v/>
      </c>
      <c r="F93" s="5" t="str">
        <f>IF(ISBLANK('Sample Namen'!M83),"",'Sample Namen'!M83)</f>
        <v/>
      </c>
      <c r="G93" s="5" t="str">
        <f>IF(ISBLANK('Sample Namen'!N83),"",'Sample Namen'!N83)</f>
        <v/>
      </c>
      <c r="H93" s="5" t="str">
        <f>IF(ISBLANK('Sample Namen'!P83),"",'Sample Namen'!P83)</f>
        <v/>
      </c>
      <c r="I93" s="5" t="str">
        <f>IF(OR(ISBLANK('Sample Namen'!B83),ISBLANK('Sample Namen'!Q83)),"",IF('Sample Namen'!Q83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Namen'!K84),"",'Sample Namen'!K84)</f>
        <v/>
      </c>
      <c r="F94" s="5" t="str">
        <f>IF(ISBLANK('Sample Namen'!M84),"",'Sample Namen'!M84)</f>
        <v/>
      </c>
      <c r="G94" s="5" t="str">
        <f>IF(ISBLANK('Sample Namen'!N84),"",'Sample Namen'!N84)</f>
        <v/>
      </c>
      <c r="H94" s="5" t="str">
        <f>IF(ISBLANK('Sample Namen'!P84),"",'Sample Namen'!P84)</f>
        <v/>
      </c>
      <c r="I94" s="5" t="str">
        <f>IF(OR(ISBLANK('Sample Namen'!B84),ISBLANK('Sample Namen'!Q84)),"",IF('Sample Namen'!Q84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Namen'!K85),"",'Sample Namen'!K85)</f>
        <v/>
      </c>
      <c r="F95" s="5" t="str">
        <f>IF(ISBLANK('Sample Namen'!M85),"",'Sample Namen'!M85)</f>
        <v/>
      </c>
      <c r="G95" s="5" t="str">
        <f>IF(ISBLANK('Sample Namen'!N85),"",'Sample Namen'!N85)</f>
        <v/>
      </c>
      <c r="H95" s="5" t="str">
        <f>IF(ISBLANK('Sample Namen'!P85),"",'Sample Namen'!P85)</f>
        <v/>
      </c>
      <c r="I95" s="5" t="str">
        <f>IF(OR(ISBLANK('Sample Namen'!B85),ISBLANK('Sample Namen'!Q85)),"",IF('Sample Namen'!Q85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Namen'!K86),"",'Sample Namen'!K86)</f>
        <v/>
      </c>
      <c r="F96" s="5" t="str">
        <f>IF(ISBLANK('Sample Namen'!M86),"",'Sample Namen'!M86)</f>
        <v/>
      </c>
      <c r="G96" s="5" t="str">
        <f>IF(ISBLANK('Sample Namen'!N86),"",'Sample Namen'!N86)</f>
        <v/>
      </c>
      <c r="H96" s="5" t="str">
        <f>IF(ISBLANK('Sample Namen'!P86),"",'Sample Namen'!P86)</f>
        <v/>
      </c>
      <c r="I96" s="5" t="str">
        <f>IF(OR(ISBLANK('Sample Namen'!B86),ISBLANK('Sample Namen'!Q86)),"",IF('Sample Namen'!Q86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Namen'!K87),"",'Sample Namen'!K87)</f>
        <v/>
      </c>
      <c r="F97" s="5" t="str">
        <f>IF(ISBLANK('Sample Namen'!M87),"",'Sample Namen'!M87)</f>
        <v/>
      </c>
      <c r="G97" s="5" t="str">
        <f>IF(ISBLANK('Sample Namen'!N87),"",'Sample Namen'!N87)</f>
        <v/>
      </c>
      <c r="H97" s="5" t="str">
        <f>IF(ISBLANK('Sample Namen'!P87),"",'Sample Namen'!P87)</f>
        <v/>
      </c>
      <c r="I97" s="5" t="str">
        <f>IF(OR(ISBLANK('Sample Namen'!B87),ISBLANK('Sample Namen'!Q87)),"",IF('Sample Namen'!Q87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Namen'!K88),"",'Sample Namen'!K88)</f>
        <v/>
      </c>
      <c r="F98" s="5" t="str">
        <f>IF(ISBLANK('Sample Namen'!M88),"",'Sample Namen'!M88)</f>
        <v/>
      </c>
      <c r="G98" s="5" t="str">
        <f>IF(ISBLANK('Sample Namen'!N88),"",'Sample Namen'!N88)</f>
        <v/>
      </c>
      <c r="H98" s="5" t="str">
        <f>IF(ISBLANK('Sample Namen'!P88),"",'Sample Namen'!P88)</f>
        <v/>
      </c>
      <c r="I98" s="5" t="str">
        <f>IF(OR(ISBLANK('Sample Namen'!B88),ISBLANK('Sample Namen'!Q88)),"",IF('Sample Namen'!Q88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Namen'!K89),"",'Sample Namen'!K89)</f>
        <v/>
      </c>
      <c r="F99" s="5" t="str">
        <f>IF(ISBLANK('Sample Namen'!M89),"",'Sample Namen'!M89)</f>
        <v/>
      </c>
      <c r="G99" s="5" t="str">
        <f>IF(ISBLANK('Sample Namen'!N89),"",'Sample Namen'!N89)</f>
        <v/>
      </c>
      <c r="H99" s="5" t="str">
        <f>IF(ISBLANK('Sample Namen'!P89),"",'Sample Namen'!P89)</f>
        <v/>
      </c>
      <c r="I99" s="5" t="str">
        <f>IF(OR(ISBLANK('Sample Namen'!B89),ISBLANK('Sample Namen'!Q89)),"",IF('Sample Namen'!Q89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Namen'!K90),"",'Sample Namen'!K90)</f>
        <v/>
      </c>
      <c r="F100" s="5" t="str">
        <f>IF(ISBLANK('Sample Namen'!M90),"",'Sample Namen'!M90)</f>
        <v/>
      </c>
      <c r="G100" s="5" t="str">
        <f>IF(ISBLANK('Sample Namen'!N90),"",'Sample Namen'!N90)</f>
        <v/>
      </c>
      <c r="H100" s="5" t="str">
        <f>IF(ISBLANK('Sample Namen'!P90),"",'Sample Namen'!P90)</f>
        <v/>
      </c>
      <c r="I100" s="5" t="str">
        <f>IF(OR(ISBLANK('Sample Namen'!B90),ISBLANK('Sample Namen'!Q90)),"",IF('Sample Namen'!Q90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Namen'!K91),"",'Sample Namen'!K91)</f>
        <v/>
      </c>
      <c r="F101" s="5" t="str">
        <f>IF(ISBLANK('Sample Namen'!M91),"",'Sample Namen'!M91)</f>
        <v/>
      </c>
      <c r="G101" s="5" t="str">
        <f>IF(ISBLANK('Sample Namen'!N91),"",'Sample Namen'!N91)</f>
        <v/>
      </c>
      <c r="H101" s="5" t="str">
        <f>IF(ISBLANK('Sample Namen'!P91),"",'Sample Namen'!P91)</f>
        <v/>
      </c>
      <c r="I101" s="5" t="str">
        <f>IF(OR(ISBLANK('Sample Namen'!B91),ISBLANK('Sample Namen'!Q91)),"",IF('Sample Namen'!Q91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Namen'!K92),"",'Sample Namen'!K92)</f>
        <v/>
      </c>
      <c r="F102" s="5" t="str">
        <f>IF(ISBLANK('Sample Namen'!M92),"",'Sample Namen'!M92)</f>
        <v/>
      </c>
      <c r="G102" s="5" t="str">
        <f>IF(ISBLANK('Sample Namen'!N92),"",'Sample Namen'!N92)</f>
        <v/>
      </c>
      <c r="H102" s="5" t="str">
        <f>IF(ISBLANK('Sample Namen'!P92),"",'Sample Namen'!P92)</f>
        <v/>
      </c>
      <c r="I102" s="5" t="str">
        <f>IF(OR(ISBLANK('Sample Namen'!B92),ISBLANK('Sample Namen'!Q92)),"",IF('Sample Namen'!Q92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Namen'!K93),"",'Sample Namen'!K93)</f>
        <v/>
      </c>
      <c r="F103" s="5" t="str">
        <f>IF(ISBLANK('Sample Namen'!M93),"",'Sample Namen'!M93)</f>
        <v/>
      </c>
      <c r="G103" s="5" t="str">
        <f>IF(ISBLANK('Sample Namen'!N93),"",'Sample Namen'!N93)</f>
        <v/>
      </c>
      <c r="H103" s="5" t="str">
        <f>IF(ISBLANK('Sample Namen'!P93),"",'Sample Namen'!P93)</f>
        <v/>
      </c>
      <c r="I103" s="5" t="str">
        <f>IF(OR(ISBLANK('Sample Namen'!B93),ISBLANK('Sample Namen'!Q93)),"",IF('Sample Namen'!Q93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Namen'!K94),"",'Sample Namen'!K94)</f>
        <v/>
      </c>
      <c r="F104" s="5" t="str">
        <f>IF(ISBLANK('Sample Namen'!M94),"",'Sample Namen'!M94)</f>
        <v/>
      </c>
      <c r="G104" s="5" t="str">
        <f>IF(ISBLANK('Sample Namen'!N94),"",'Sample Namen'!N94)</f>
        <v/>
      </c>
      <c r="H104" s="5" t="str">
        <f>IF(ISBLANK('Sample Namen'!P94),"",'Sample Namen'!P94)</f>
        <v/>
      </c>
      <c r="I104" s="5" t="str">
        <f>IF(OR(ISBLANK('Sample Namen'!B94),ISBLANK('Sample Namen'!Q94)),"",IF('Sample Namen'!Q94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Namen'!K95),"",'Sample Namen'!K95)</f>
        <v/>
      </c>
      <c r="F105" s="5" t="str">
        <f>IF(ISBLANK('Sample Namen'!M95),"",'Sample Namen'!M95)</f>
        <v/>
      </c>
      <c r="G105" s="5" t="str">
        <f>IF(ISBLANK('Sample Namen'!N95),"",'Sample Namen'!N95)</f>
        <v/>
      </c>
      <c r="H105" s="5" t="str">
        <f>IF(ISBLANK('Sample Namen'!P95),"",'Sample Namen'!P95)</f>
        <v/>
      </c>
      <c r="I105" s="5" t="str">
        <f>IF(OR(ISBLANK('Sample Namen'!B95),ISBLANK('Sample Namen'!Q95)),"",IF('Sample Namen'!Q95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Namen'!K96),"",'Sample Namen'!K96)</f>
        <v/>
      </c>
      <c r="F106" s="5" t="str">
        <f>IF(ISBLANK('Sample Namen'!M96),"",'Sample Namen'!M96)</f>
        <v/>
      </c>
      <c r="G106" s="5" t="str">
        <f>IF(ISBLANK('Sample Namen'!N96),"",'Sample Namen'!N96)</f>
        <v/>
      </c>
      <c r="H106" s="5" t="str">
        <f>IF(ISBLANK('Sample Namen'!P96),"",'Sample Namen'!P96)</f>
        <v/>
      </c>
      <c r="I106" s="5" t="str">
        <f>IF(OR(ISBLANK('Sample Namen'!B96),ISBLANK('Sample Namen'!Q96)),"",IF('Sample Namen'!Q96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Namen'!K97),"",'Sample Namen'!K97)</f>
        <v/>
      </c>
      <c r="F107" s="5" t="str">
        <f>IF(ISBLANK('Sample Namen'!M97),"",'Sample Namen'!M97)</f>
        <v/>
      </c>
      <c r="G107" s="5" t="str">
        <f>IF(ISBLANK('Sample Namen'!N97),"",'Sample Namen'!N97)</f>
        <v/>
      </c>
      <c r="H107" s="5" t="str">
        <f>IF(ISBLANK('Sample Namen'!P97),"",'Sample Namen'!P97)</f>
        <v/>
      </c>
      <c r="I107" s="5" t="str">
        <f>IF(OR(ISBLANK('Sample Namen'!B97),ISBLANK('Sample Namen'!Q97)),"",IF('Sample Namen'!Q97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Namen'!K98),"",'Sample Namen'!K98)</f>
        <v/>
      </c>
      <c r="F108" s="5" t="str">
        <f>IF(ISBLANK('Sample Namen'!M98),"",'Sample Namen'!M98)</f>
        <v/>
      </c>
      <c r="G108" s="5" t="str">
        <f>IF(ISBLANK('Sample Namen'!N98),"",'Sample Namen'!N98)</f>
        <v/>
      </c>
      <c r="H108" s="5" t="str">
        <f>IF(ISBLANK('Sample Namen'!P98),"",'Sample Namen'!P98)</f>
        <v/>
      </c>
      <c r="I108" s="5" t="str">
        <f>IF(OR(ISBLANK('Sample Namen'!B98),ISBLANK('Sample Namen'!Q98)),"",IF('Sample Namen'!Q98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Namen'!K99),"",'Sample Namen'!K99)</f>
        <v/>
      </c>
      <c r="F109" s="5" t="str">
        <f>IF(ISBLANK('Sample Namen'!M99),"",'Sample Namen'!M99)</f>
        <v/>
      </c>
      <c r="G109" s="5" t="str">
        <f>IF(ISBLANK('Sample Namen'!N99),"",'Sample Namen'!N99)</f>
        <v/>
      </c>
      <c r="H109" s="5" t="str">
        <f>IF(ISBLANK('Sample Namen'!P99),"",'Sample Namen'!P99)</f>
        <v/>
      </c>
      <c r="I109" s="5" t="str">
        <f>IF(OR(ISBLANK('Sample Namen'!B99),ISBLANK('Sample Namen'!Q99)),"",IF('Sample Namen'!Q99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Namen'!K100),"",'Sample Namen'!K100)</f>
        <v/>
      </c>
      <c r="F110" s="5" t="str">
        <f>IF(ISBLANK('Sample Namen'!M100),"",'Sample Namen'!M100)</f>
        <v/>
      </c>
      <c r="G110" s="5" t="str">
        <f>IF(ISBLANK('Sample Namen'!N100),"",'Sample Namen'!N100)</f>
        <v/>
      </c>
      <c r="H110" s="5" t="str">
        <f>IF(ISBLANK('Sample Namen'!P100),"",'Sample Namen'!P100)</f>
        <v/>
      </c>
      <c r="I110" s="5" t="str">
        <f>IF(OR(ISBLANK('Sample Namen'!B100),ISBLANK('Sample Namen'!Q100)),"",IF('Sample Namen'!Q100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Namen'!K101),"",'Sample Namen'!K101)</f>
        <v/>
      </c>
      <c r="F111" s="5" t="str">
        <f>IF(ISBLANK('Sample Namen'!M101),"",'Sample Namen'!M101)</f>
        <v/>
      </c>
      <c r="G111" s="5" t="str">
        <f>IF(ISBLANK('Sample Namen'!N101),"",'Sample Namen'!N101)</f>
        <v/>
      </c>
      <c r="H111" s="5" t="str">
        <f>IF(ISBLANK('Sample Namen'!P101),"",'Sample Namen'!P101)</f>
        <v/>
      </c>
      <c r="I111" s="5" t="str">
        <f>IF(OR(ISBLANK('Sample Namen'!B101),ISBLANK('Sample Namen'!Q101)),"",IF('Sample Namen'!Q101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Namen'!K102),"",'Sample Namen'!K102)</f>
        <v/>
      </c>
      <c r="F112" s="5" t="str">
        <f>IF(ISBLANK('Sample Namen'!M102),"",'Sample Namen'!M102)</f>
        <v/>
      </c>
      <c r="G112" s="5" t="str">
        <f>IF(ISBLANK('Sample Namen'!N102),"",'Sample Namen'!N102)</f>
        <v/>
      </c>
      <c r="H112" s="5" t="str">
        <f>IF(ISBLANK('Sample Namen'!P102),"",'Sample Namen'!P102)</f>
        <v/>
      </c>
      <c r="I112" s="5" t="str">
        <f>IF(OR(ISBLANK('Sample Namen'!B102),ISBLANK('Sample Namen'!Q102)),"",IF('Sample Namen'!Q102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Namen'!K103),"",'Sample Namen'!K103)</f>
        <v/>
      </c>
      <c r="F113" s="5" t="str">
        <f>IF(ISBLANK('Sample Namen'!M103),"",'Sample Namen'!M103)</f>
        <v/>
      </c>
      <c r="G113" s="5" t="str">
        <f>IF(ISBLANK('Sample Namen'!N103),"",'Sample Namen'!N103)</f>
        <v/>
      </c>
      <c r="H113" s="5" t="str">
        <f>IF(ISBLANK('Sample Namen'!P103),"",'Sample Namen'!P103)</f>
        <v/>
      </c>
      <c r="I113" s="5" t="str">
        <f>IF(OR(ISBLANK('Sample Namen'!B103),ISBLANK('Sample Namen'!Q103)),"",IF('Sample Namen'!Q103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Namen'!K104),"",'Sample Namen'!K104)</f>
        <v/>
      </c>
      <c r="F114" s="5" t="str">
        <f>IF(ISBLANK('Sample Namen'!M104),"",'Sample Namen'!M104)</f>
        <v/>
      </c>
      <c r="G114" s="5" t="str">
        <f>IF(ISBLANK('Sample Namen'!N104),"",'Sample Namen'!N104)</f>
        <v/>
      </c>
      <c r="H114" s="5" t="str">
        <f>IF(ISBLANK('Sample Namen'!P104),"",'Sample Namen'!P104)</f>
        <v/>
      </c>
      <c r="I114" s="5" t="str">
        <f>IF(OR(ISBLANK('Sample Namen'!B104),ISBLANK('Sample Namen'!Q104)),"",IF('Sample Namen'!Q104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Namen'!K105),"",'Sample Namen'!K105)</f>
        <v/>
      </c>
      <c r="F115" s="5" t="str">
        <f>IF(ISBLANK('Sample Namen'!M105),"",'Sample Namen'!M105)</f>
        <v/>
      </c>
      <c r="G115" s="5" t="str">
        <f>IF(ISBLANK('Sample Namen'!N105),"",'Sample Namen'!N105)</f>
        <v/>
      </c>
      <c r="H115" s="5" t="str">
        <f>IF(ISBLANK('Sample Namen'!P105),"",'Sample Namen'!P105)</f>
        <v/>
      </c>
      <c r="I115" s="5" t="str">
        <f>IF(OR(ISBLANK('Sample Namen'!B105),ISBLANK('Sample Namen'!Q105)),"",IF('Sample Namen'!Q105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Namen'!K106),"",'Sample Namen'!K106)</f>
        <v/>
      </c>
      <c r="F116" s="5" t="str">
        <f>IF(ISBLANK('Sample Namen'!M106),"",'Sample Namen'!M106)</f>
        <v/>
      </c>
      <c r="G116" s="5" t="str">
        <f>IF(ISBLANK('Sample Namen'!N106),"",'Sample Namen'!N106)</f>
        <v/>
      </c>
      <c r="H116" s="5" t="str">
        <f>IF(ISBLANK('Sample Namen'!P106),"",'Sample Namen'!P106)</f>
        <v/>
      </c>
      <c r="I116" s="5" t="str">
        <f>IF(OR(ISBLANK('Sample Namen'!B106),ISBLANK('Sample Namen'!Q106)),"",IF('Sample Namen'!Q106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Namen'!K107),"",'Sample Namen'!K107)</f>
        <v/>
      </c>
      <c r="F117" s="5" t="str">
        <f>IF(ISBLANK('Sample Namen'!M107),"",'Sample Namen'!M107)</f>
        <v/>
      </c>
      <c r="G117" s="5" t="str">
        <f>IF(ISBLANK('Sample Namen'!N107),"",'Sample Namen'!N107)</f>
        <v/>
      </c>
      <c r="H117" s="5" t="str">
        <f>IF(ISBLANK('Sample Namen'!P107),"",'Sample Namen'!P107)</f>
        <v/>
      </c>
      <c r="I117" s="5" t="str">
        <f>IF(OR(ISBLANK('Sample Namen'!B107),ISBLANK('Sample Namen'!Q107)),"",IF('Sample Namen'!Q107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Namen'!K108),"",'Sample Namen'!K108)</f>
        <v/>
      </c>
      <c r="F118" s="5" t="str">
        <f>IF(ISBLANK('Sample Namen'!M108),"",'Sample Namen'!M108)</f>
        <v/>
      </c>
      <c r="G118" s="5" t="str">
        <f>IF(ISBLANK('Sample Namen'!N108),"",'Sample Namen'!N108)</f>
        <v/>
      </c>
      <c r="H118" s="5" t="str">
        <f>IF(ISBLANK('Sample Namen'!P108),"",'Sample Namen'!P108)</f>
        <v/>
      </c>
      <c r="I118" s="5" t="str">
        <f>IF(OR(ISBLANK('Sample Namen'!B108),ISBLANK('Sample Namen'!Q108)),"",IF('Sample Namen'!Q108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Namen'!K109),"",'Sample Namen'!K109)</f>
        <v/>
      </c>
      <c r="F119" s="5" t="str">
        <f>IF(ISBLANK('Sample Namen'!M109),"",'Sample Namen'!M109)</f>
        <v/>
      </c>
      <c r="G119" s="5" t="str">
        <f>IF(ISBLANK('Sample Namen'!N109),"",'Sample Namen'!N109)</f>
        <v/>
      </c>
      <c r="H119" s="5" t="str">
        <f>IF(ISBLANK('Sample Namen'!P109),"",'Sample Namen'!P109)</f>
        <v/>
      </c>
      <c r="I119" s="5" t="str">
        <f>IF(OR(ISBLANK('Sample Namen'!B109),ISBLANK('Sample Namen'!Q109)),"",IF('Sample Namen'!Q109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Namen'!K110),"",'Sample Namen'!K110)</f>
        <v/>
      </c>
      <c r="F120" s="5" t="str">
        <f>IF(ISBLANK('Sample Namen'!M110),"",'Sample Namen'!M110)</f>
        <v/>
      </c>
      <c r="G120" s="5" t="str">
        <f>IF(ISBLANK('Sample Namen'!N110),"",'Sample Namen'!N110)</f>
        <v/>
      </c>
      <c r="H120" s="5" t="str">
        <f>IF(ISBLANK('Sample Namen'!P110),"",'Sample Namen'!P110)</f>
        <v/>
      </c>
      <c r="I120" s="5" t="str">
        <f>IF(OR(ISBLANK('Sample Namen'!B110),ISBLANK('Sample Namen'!Q110)),"",IF('Sample Namen'!Q110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Sample Namen</vt:lpstr>
      <vt:lpstr>indices</vt:lpstr>
      <vt:lpstr>indices order</vt:lpstr>
      <vt:lpstr>Virus and Target infos</vt:lpstr>
      <vt:lpstr>Plate layout</vt:lpstr>
      <vt:lpstr>MiSeq SampleSheet</vt:lpstr>
      <vt:lpstr>column</vt:lpstr>
      <vt:lpstr>column_order</vt:lpstr>
      <vt:lpstr>Genotyp</vt:lpstr>
      <vt:lpstr>I5_Index</vt:lpstr>
      <vt:lpstr>I5_Index_ID</vt:lpstr>
      <vt:lpstr>I7_Index</vt:lpstr>
      <vt:lpstr>I7_Index_ID</vt:lpstr>
      <vt:lpstr>indices_used</vt:lpstr>
      <vt:lpstr>JaNein</vt:lpstr>
      <vt:lpstr>Operator</vt:lpstr>
      <vt:lpstr>row</vt:lpstr>
      <vt:lpstr>row_order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2019-02-20T09:42:01Z</dcterms:modified>
</cp:coreProperties>
</file>